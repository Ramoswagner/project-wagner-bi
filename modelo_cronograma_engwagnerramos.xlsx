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CRONOGRAMA" sheetId="1" r:id="rId5"/>
    <sheet state="visible" name="2 INSTRUÇÕES" sheetId="2" r:id="rId6"/>
    <sheet state="visible" name="3 RESUMO" sheetId="3" r:id="rId7"/>
  </sheets>
  <definedNames/>
  <calcPr/>
</workbook>
</file>

<file path=xl/sharedStrings.xml><?xml version="1.0" encoding="utf-8"?>
<sst xmlns="http://schemas.openxmlformats.org/spreadsheetml/2006/main" count="85" uniqueCount="82">
  <si>
    <t>NOME DO PROJETO</t>
  </si>
  <si>
    <t>RESPONSÁVEL</t>
  </si>
  <si>
    <t>EMPRESA / INSTITUIÇÃO</t>
  </si>
  <si>
    <t>ID</t>
  </si>
  <si>
    <t>ATIVIDADE</t>
  </si>
  <si>
    <t>INÍCIO PREVISTO</t>
  </si>
  <si>
    <t>TÉRMINO PREVISTO</t>
  </si>
  <si>
    <t>INÍCIO REAL</t>
  </si>
  <si>
    <t>TÉRMINO REAL</t>
  </si>
  <si>
    <t>CUSTO PREVISTO</t>
  </si>
  <si>
    <t>CUSTO REAL</t>
  </si>
  <si>
    <t>PROGRESSO %</t>
  </si>
  <si>
    <t>STATUS</t>
  </si>
  <si>
    <t>VAR. CUSTO</t>
  </si>
  <si>
    <t>Obs: mantenha a ordem das planilhas (abas)</t>
  </si>
  <si>
    <t>Edite apenas os campos necessários.</t>
  </si>
  <si>
    <t xml:space="preserve">  Project Wagner BI  ·  ramoswagner.github.io/gestaodecronograma ·  @engwagnerramos</t>
  </si>
  <si>
    <t xml:space="preserve">  Project Wagner BI — Modelo de Cronograma</t>
  </si>
  <si>
    <t xml:space="preserve">  Como usar este arquivo e conectar ao dashboard</t>
  </si>
  <si>
    <t xml:space="preserve">  📋  PASSO 1 — Preencha a aba CRONOGRAMA</t>
  </si>
  <si>
    <t>• Linha 1: cabeçalhos (já preenchidos — não altere)</t>
  </si>
  <si>
    <t>• Linha 2: informe o Nome do Projeto (col. A), Responsável (col. B) e Empresa (col. C)</t>
  </si>
  <si>
    <t>• A partir da linha 2, nas colunas D a M, preencha cada atividade do projeto</t>
  </si>
  <si>
    <t>• Deixe as células de Custo Real e Término Real em branco enquanto a atividade não iniciar</t>
  </si>
  <si>
    <t xml:space="preserve">  🌐  PASSO 2 — Publique no Google Sheets</t>
  </si>
  <si>
    <t>• Faça upload deste arquivo para o Google Drive ou copie os dados para um Google Sheets</t>
  </si>
  <si>
    <t>• No Google Sheets: Arquivo → Compartilhar → Publicar na web</t>
  </si>
  <si>
    <t>• Selecione a aba Cronograma e o formato: Valores separados por vírgula (.csv)</t>
  </si>
  <si>
    <t>• Clique em Publicar e copie o link gerado</t>
  </si>
  <si>
    <t xml:space="preserve">  🔗  PASSO 3 — Conecte ao Dashboard</t>
  </si>
  <si>
    <t>• Acesse:  ramoswagner.github.io/WagnerStrategicCommand</t>
  </si>
  <si>
    <t>• Clique em Conectar Planilha → cole o link CSV copiado</t>
  </si>
  <si>
    <t>• O painel carrega automaticamente com auto-refresh!</t>
  </si>
  <si>
    <t xml:space="preserve">  📊  ESTRUTURA DAS COLUNAS (aba CRONOGRAMA)</t>
  </si>
  <si>
    <t>Col. A</t>
  </si>
  <si>
    <t>Nome do Projeto</t>
  </si>
  <si>
    <t>Linha 2 apenas. Ex: Sistema ERP Municipal</t>
  </si>
  <si>
    <t>Col. B</t>
  </si>
  <si>
    <t>Responsável</t>
  </si>
  <si>
    <t>Linha 2 apenas. Ex: Ana Lima</t>
  </si>
  <si>
    <t>Col. C</t>
  </si>
  <si>
    <t>Empresa</t>
  </si>
  <si>
    <t>Linha 2 apenas. Ex: Prefeitura de BH</t>
  </si>
  <si>
    <t>Col. D</t>
  </si>
  <si>
    <t>Número sequencial da atividade: 1, 2, 3...</t>
  </si>
  <si>
    <t>Col. E</t>
  </si>
  <si>
    <t>Atividade</t>
  </si>
  <si>
    <t>Nome da atividade. Ex: Levantamento de Requisitos</t>
  </si>
  <si>
    <t>Col. F</t>
  </si>
  <si>
    <t>Responsável por essa atividade específica</t>
  </si>
  <si>
    <t>Col. G</t>
  </si>
  <si>
    <t>Início Previsto</t>
  </si>
  <si>
    <t>Data de início planejada. Formato: DD/MM/AAAA</t>
  </si>
  <si>
    <t>Col. H</t>
  </si>
  <si>
    <t>Término Previsto</t>
  </si>
  <si>
    <t>Data de término planejada. Formato: DD/MM/AAAA</t>
  </si>
  <si>
    <t>Col. I</t>
  </si>
  <si>
    <t>Início Real</t>
  </si>
  <si>
    <t>Data em que a atividade realmente começou</t>
  </si>
  <si>
    <t>Col. J</t>
  </si>
  <si>
    <t>Término Real</t>
  </si>
  <si>
    <t>Data em que a atividade foi concluída (deixe vazio se em andamento)</t>
  </si>
  <si>
    <t>Col. K</t>
  </si>
  <si>
    <t>Custo Previsto</t>
  </si>
  <si>
    <t>Valor orçado para a atividade. Somente números. Ex: 5000</t>
  </si>
  <si>
    <t>Col. L</t>
  </si>
  <si>
    <t>Custo Real</t>
  </si>
  <si>
    <t>Custo real até o momento. Deixe 0 se não iniciada</t>
  </si>
  <si>
    <t>Col. M</t>
  </si>
  <si>
    <t>Progresso (%)</t>
  </si>
  <si>
    <t>Percentual concluído: 0 = não iniciado, 100 = concluído</t>
  </si>
  <si>
    <t>💡  Dica: O progresso de 0% = Não iniciado | 1-99% = Em andamento | 100% = Concluído. O dashboard classifica automaticamente o status.</t>
  </si>
  <si>
    <t xml:space="preserve">  RESUMO EXECUTIVO DO PROJETO</t>
  </si>
  <si>
    <t>Orçamento Previsto</t>
  </si>
  <si>
    <t>Custo Real Acumulado</t>
  </si>
  <si>
    <t>Progresso Médio</t>
  </si>
  <si>
    <t>Total de Atividades</t>
  </si>
  <si>
    <t>Atividades Concluídas</t>
  </si>
  <si>
    <t>Em Andamento</t>
  </si>
  <si>
    <t>Não Iniciadas</t>
  </si>
  <si>
    <t>Atrasadas</t>
  </si>
  <si>
    <t xml:space="preserve">  ⚡ Conecte esta planilha ao dashboard em: ramoswagner.github.io/WagnerStrategicCommand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</si>
</sst>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R$ &quot;#,##0.00;&quot;(R$ &quot;#,##0.00\);\-"/>
    <numFmt numFmtId="166" formatCode="0.0%;\(0.0%\);\-"/>
    <numFmt numFmtId="167" formatCode="&quot;R$ &quot;#,##0.00"/>
    <numFmt numFmtId="168" formatCode="0.0\%"/>
  </numFmts>
  <fonts count="32">
    <font>
      <sz val="11.0"/>
      <color theme="1"/>
      <name val="Calibri"/>
      <scheme val="minor"/>
    </font>
    <font>
      <b/>
      <sz val="8.0"/>
      <color rgb="FFAACCBB"/>
      <name val="Arial"/>
    </font>
    <font>
      <b/>
      <sz val="8.0"/>
      <color rgb="FFFFFFFF"/>
      <name val="Arial"/>
    </font>
    <font>
      <b/>
      <sz val="11.0"/>
      <color rgb="FF1B4D3E"/>
      <name val="Arial"/>
    </font>
    <font>
      <sz val="11.0"/>
      <color rgb="FF555555"/>
      <name val="Arial"/>
    </font>
    <font>
      <b/>
      <sz val="10.0"/>
      <color rgb="FFBF9000"/>
      <name val="Arial"/>
    </font>
    <font>
      <sz val="10.0"/>
      <color rgb="FF333333"/>
      <name val="Arial"/>
    </font>
    <font>
      <b/>
      <sz val="9.0"/>
      <color rgb="FF333333"/>
      <name val="Arial"/>
    </font>
    <font>
      <b/>
      <sz val="9.0"/>
      <color rgb="FFBF9000"/>
      <name val="Arial"/>
    </font>
    <font>
      <color theme="1"/>
      <name val="Calibri"/>
      <scheme val="minor"/>
    </font>
    <font>
      <b/>
      <color rgb="FFB45F06"/>
      <name val="Calibri"/>
      <scheme val="minor"/>
    </font>
    <font>
      <color rgb="FFB45F06"/>
      <name val="Calibri"/>
      <scheme val="minor"/>
    </font>
    <font>
      <sz val="9.0"/>
      <color rgb="FFAACCBB"/>
      <name val="Arial"/>
    </font>
    <font/>
    <font>
      <sz val="11.0"/>
      <color theme="1"/>
      <name val="Calibri"/>
    </font>
    <font>
      <b/>
      <sz val="20.0"/>
      <color rgb="FFFFFFFF"/>
      <name val="Arial"/>
    </font>
    <font>
      <sz val="11.0"/>
      <color rgb="FFD4C9A8"/>
      <name val="Arial"/>
    </font>
    <font>
      <b/>
      <sz val="12.0"/>
      <color rgb="FFFFFFFF"/>
      <name val="Arial"/>
    </font>
    <font>
      <i/>
      <sz val="10.0"/>
      <color rgb="FF666666"/>
      <name val="Arial"/>
    </font>
    <font>
      <b/>
      <sz val="9.0"/>
      <color rgb="FFFFFFFF"/>
      <name val="Arial"/>
    </font>
    <font>
      <b/>
      <sz val="9.0"/>
      <color rgb="FF1B4D3E"/>
      <name val="Arial"/>
    </font>
    <font>
      <sz val="9.0"/>
      <color rgb="FF555555"/>
      <name val="Arial"/>
    </font>
    <font>
      <sz val="9.0"/>
      <color rgb="FF7A5C00"/>
      <name val="Arial"/>
    </font>
    <font>
      <b/>
      <sz val="18.0"/>
      <color rgb="FFFFFFFF"/>
      <name val="Arial"/>
    </font>
    <font>
      <b/>
      <sz val="18.0"/>
      <color rgb="FF1B4D3E"/>
      <name val="Arial"/>
    </font>
    <font>
      <b/>
      <sz val="18.0"/>
      <color rgb="FFA0522D"/>
      <name val="Arial"/>
    </font>
    <font>
      <b/>
      <sz val="18.0"/>
      <color rgb="FF2A6E5A"/>
      <name val="Arial"/>
    </font>
    <font>
      <b/>
      <sz val="18.0"/>
      <color rgb="FF1565C0"/>
      <name val="Arial"/>
    </font>
    <font>
      <sz val="8.0"/>
      <color rgb="FF888888"/>
      <name val="Arial"/>
    </font>
    <font>
      <b/>
      <sz val="18.0"/>
      <color rgb="FF2E7D32"/>
      <name val="Arial"/>
    </font>
    <font>
      <b/>
      <sz val="18.0"/>
      <color rgb="FFE65100"/>
      <name val="Arial"/>
    </font>
    <font>
      <b/>
      <sz val="18.0"/>
      <color rgb="FFC62828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F3226"/>
        <bgColor rgb="FF0F3226"/>
      </patternFill>
    </fill>
    <fill>
      <patternFill patternType="solid">
        <fgColor rgb="FFFF0000"/>
        <bgColor rgb="FFFF0000"/>
      </patternFill>
    </fill>
    <fill>
      <patternFill patternType="solid">
        <fgColor rgb="FF1B4D3E"/>
        <bgColor rgb="FF1B4D3E"/>
      </patternFill>
    </fill>
    <fill>
      <patternFill patternType="solid">
        <fgColor rgb="FF2A6E5A"/>
        <bgColor rgb="FF2A6E5A"/>
      </patternFill>
    </fill>
    <fill>
      <patternFill patternType="solid">
        <fgColor rgb="FFA0522D"/>
        <bgColor rgb="FFA0522D"/>
      </patternFill>
    </fill>
    <fill>
      <patternFill patternType="solid">
        <fgColor rgb="FFFAFFF9"/>
        <bgColor rgb="FFFAFFF9"/>
      </patternFill>
    </fill>
    <fill>
      <patternFill patternType="solid">
        <fgColor rgb="FFFFFFFF"/>
        <bgColor rgb="FFFFFFFF"/>
      </patternFill>
    </fill>
    <fill>
      <patternFill patternType="solid">
        <fgColor rgb="FFF0F7F4"/>
        <bgColor rgb="FFF0F7F4"/>
      </patternFill>
    </fill>
    <fill>
      <patternFill patternType="solid">
        <fgColor rgb="FFD4901A"/>
        <bgColor rgb="FFD4901A"/>
      </patternFill>
    </fill>
    <fill>
      <patternFill patternType="solid">
        <fgColor rgb="FFFAF8F2"/>
        <bgColor rgb="FFFAF8F2"/>
      </patternFill>
    </fill>
    <fill>
      <patternFill patternType="solid">
        <fgColor rgb="FFE8F3F0"/>
        <bgColor rgb="FFE8F3F0"/>
      </patternFill>
    </fill>
    <fill>
      <patternFill patternType="solid">
        <fgColor rgb="FFF4F6F5"/>
        <bgColor rgb="FFF4F6F5"/>
      </patternFill>
    </fill>
    <fill>
      <patternFill patternType="solid">
        <fgColor rgb="FFFEF6E4"/>
        <bgColor rgb="FFFEF6E4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C62828"/>
        <bgColor rgb="FFC62828"/>
      </patternFill>
    </fill>
  </fills>
  <borders count="10">
    <border/>
    <border>
      <left/>
      <right/>
      <top/>
      <bottom/>
    </border>
    <border>
      <left style="thin">
        <color rgb="FFDCEAE6"/>
      </left>
      <right style="thin">
        <color rgb="FFDCEAE6"/>
      </right>
      <top style="thin">
        <color rgb="FFDCEAE6"/>
      </top>
      <bottom style="thin">
        <color rgb="FFDCEAE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CEAE6"/>
      </left>
      <top style="thin">
        <color rgb="FFDCEAE6"/>
      </top>
      <bottom style="thin">
        <color rgb="FFDCEAE6"/>
      </bottom>
    </border>
    <border>
      <top style="thin">
        <color rgb="FFDCEAE6"/>
      </top>
      <bottom style="thin">
        <color rgb="FFDCEAE6"/>
      </bottom>
    </border>
    <border>
      <right/>
      <top style="thin">
        <color rgb="FFDCEAE6"/>
      </top>
      <bottom style="thin">
        <color rgb="FFDCEAE6"/>
      </bottom>
    </border>
    <border>
      <right style="thin">
        <color rgb="FFDCEAE6"/>
      </right>
      <top style="thin">
        <color rgb="FFDCEAE6"/>
      </top>
      <bottom style="thin">
        <color rgb="FFDCEAE6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2" fillId="7" fontId="3" numFmtId="0" xfId="0" applyAlignment="1" applyBorder="1" applyFill="1" applyFont="1">
      <alignment horizontal="left" readingOrder="0" shrinkToFit="0" vertical="center" wrapText="0"/>
    </xf>
    <xf borderId="2" fillId="7" fontId="4" numFmtId="0" xfId="0" applyAlignment="1" applyBorder="1" applyFont="1">
      <alignment horizontal="left" readingOrder="0" shrinkToFit="0" vertical="center" wrapText="0"/>
    </xf>
    <xf borderId="2" fillId="8" fontId="5" numFmtId="0" xfId="0" applyAlignment="1" applyBorder="1" applyFill="1" applyFont="1">
      <alignment horizontal="center" readingOrder="0" shrinkToFit="0" vertical="center" wrapText="0"/>
    </xf>
    <xf borderId="2" fillId="8" fontId="6" numFmtId="0" xfId="0" applyAlignment="1" applyBorder="1" applyFont="1">
      <alignment horizontal="left" readingOrder="0" shrinkToFit="0" vertical="center" wrapText="0"/>
    </xf>
    <xf borderId="2" fillId="8" fontId="6" numFmtId="164" xfId="0" applyAlignment="1" applyBorder="1" applyFont="1" applyNumberFormat="1">
      <alignment horizontal="center" readingOrder="0" shrinkToFit="0" vertical="center" wrapText="0"/>
    </xf>
    <xf borderId="2" fillId="8" fontId="6" numFmtId="165" xfId="0" applyAlignment="1" applyBorder="1" applyFont="1" applyNumberFormat="1">
      <alignment horizontal="center" readingOrder="0" shrinkToFit="0" vertical="center" wrapText="0"/>
    </xf>
    <xf borderId="2" fillId="8" fontId="6" numFmtId="9" xfId="0" applyAlignment="1" applyBorder="1" applyFont="1" applyNumberFormat="1">
      <alignment horizontal="center" readingOrder="0" shrinkToFit="0" vertical="center" wrapText="0"/>
    </xf>
    <xf borderId="2" fillId="8" fontId="7" numFmtId="0" xfId="0" applyAlignment="1" applyBorder="1" applyFont="1">
      <alignment horizontal="center" shrinkToFit="0" vertical="center" wrapText="0"/>
    </xf>
    <xf borderId="2" fillId="8" fontId="8" numFmtId="166" xfId="0" applyAlignment="1" applyBorder="1" applyFont="1" applyNumberFormat="1">
      <alignment horizontal="center" shrinkToFit="0" vertical="center" wrapText="0"/>
    </xf>
    <xf borderId="0" fillId="0" fontId="9" numFmtId="0" xfId="0" applyAlignment="1" applyFont="1">
      <alignment readingOrder="0"/>
    </xf>
    <xf borderId="0" fillId="0" fontId="9" numFmtId="0" xfId="0" applyFont="1"/>
    <xf borderId="2" fillId="9" fontId="5" numFmtId="0" xfId="0" applyAlignment="1" applyBorder="1" applyFill="1" applyFont="1">
      <alignment horizontal="center" readingOrder="0" shrinkToFit="0" vertical="center" wrapText="0"/>
    </xf>
    <xf borderId="2" fillId="9" fontId="6" numFmtId="0" xfId="0" applyAlignment="1" applyBorder="1" applyFont="1">
      <alignment horizontal="left" readingOrder="0" shrinkToFit="0" vertical="center" wrapText="0"/>
    </xf>
    <xf borderId="2" fillId="9" fontId="6" numFmtId="164" xfId="0" applyAlignment="1" applyBorder="1" applyFont="1" applyNumberFormat="1">
      <alignment horizontal="center" readingOrder="0" shrinkToFit="0" vertical="center" wrapText="0"/>
    </xf>
    <xf borderId="2" fillId="9" fontId="6" numFmtId="165" xfId="0" applyAlignment="1" applyBorder="1" applyFont="1" applyNumberFormat="1">
      <alignment horizontal="center" readingOrder="0" shrinkToFit="0" vertical="center" wrapText="0"/>
    </xf>
    <xf borderId="2" fillId="9" fontId="6" numFmtId="9" xfId="0" applyAlignment="1" applyBorder="1" applyFont="1" applyNumberFormat="1">
      <alignment horizontal="center" readingOrder="0" shrinkToFit="0" vertical="center" wrapText="0"/>
    </xf>
    <xf borderId="2" fillId="9" fontId="7" numFmtId="0" xfId="0" applyAlignment="1" applyBorder="1" applyFont="1">
      <alignment horizontal="center" shrinkToFit="0" vertical="center" wrapText="0"/>
    </xf>
    <xf borderId="2" fillId="9" fontId="8" numFmtId="166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0" numFmtId="0" xfId="0" applyAlignment="1" applyFont="1">
      <alignment readingOrder="0" vertical="top"/>
    </xf>
    <xf borderId="3" fillId="4" fontId="12" numFmtId="0" xfId="0" applyAlignment="1" applyBorder="1" applyFont="1">
      <alignment horizontal="left" readingOrder="0" shrinkToFit="0" vertical="center" wrapText="0"/>
    </xf>
    <xf borderId="4" fillId="0" fontId="13" numFmtId="0" xfId="0" applyBorder="1" applyFont="1"/>
    <xf borderId="5" fillId="0" fontId="13" numFmtId="0" xfId="0" applyBorder="1" applyFont="1"/>
    <xf borderId="1" fillId="4" fontId="14" numFmtId="0" xfId="0" applyAlignment="1" applyBorder="1" applyFont="1">
      <alignment shrinkToFit="0" vertical="bottom" wrapText="0"/>
    </xf>
    <xf borderId="3" fillId="4" fontId="15" numFmtId="0" xfId="0" applyAlignment="1" applyBorder="1" applyFont="1">
      <alignment horizontal="left" shrinkToFit="0" vertical="center" wrapText="0"/>
    </xf>
    <xf borderId="3" fillId="4" fontId="16" numFmtId="0" xfId="0" applyAlignment="1" applyBorder="1" applyFont="1">
      <alignment horizontal="left" shrinkToFit="0" vertical="center" wrapText="0"/>
    </xf>
    <xf borderId="1" fillId="10" fontId="14" numFmtId="0" xfId="0" applyAlignment="1" applyBorder="1" applyFill="1" applyFont="1">
      <alignment shrinkToFit="0" vertical="bottom" wrapText="0"/>
    </xf>
    <xf borderId="1" fillId="11" fontId="14" numFmtId="0" xfId="0" applyAlignment="1" applyBorder="1" applyFill="1" applyFont="1">
      <alignment shrinkToFit="0" vertical="bottom" wrapText="0"/>
    </xf>
    <xf borderId="3" fillId="4" fontId="17" numFmtId="0" xfId="0" applyAlignment="1" applyBorder="1" applyFont="1">
      <alignment horizontal="left" shrinkToFit="0" vertical="center" wrapText="0"/>
    </xf>
    <xf borderId="3" fillId="8" fontId="6" numFmtId="0" xfId="0" applyAlignment="1" applyBorder="1" applyFont="1">
      <alignment horizontal="left" shrinkToFit="0" vertical="center" wrapText="1"/>
    </xf>
    <xf borderId="3" fillId="8" fontId="18" numFmtId="0" xfId="0" applyAlignment="1" applyBorder="1" applyFont="1">
      <alignment horizontal="left" shrinkToFit="0" vertical="center" wrapText="1"/>
    </xf>
    <xf borderId="2" fillId="5" fontId="19" numFmtId="0" xfId="0" applyAlignment="1" applyBorder="1" applyFont="1">
      <alignment horizontal="center" shrinkToFit="0" vertical="center" wrapText="0"/>
    </xf>
    <xf borderId="2" fillId="12" fontId="20" numFmtId="0" xfId="0" applyAlignment="1" applyBorder="1" applyFill="1" applyFont="1">
      <alignment horizontal="left" shrinkToFit="0" vertical="center" wrapText="0"/>
    </xf>
    <xf borderId="6" fillId="8" fontId="21" numFmtId="0" xfId="0" applyAlignment="1" applyBorder="1" applyFont="1">
      <alignment horizontal="left" shrinkToFit="0" vertical="center" wrapText="1"/>
    </xf>
    <xf borderId="7" fillId="0" fontId="13" numFmtId="0" xfId="0" applyBorder="1" applyFont="1"/>
    <xf borderId="8" fillId="0" fontId="13" numFmtId="0" xfId="0" applyBorder="1" applyFont="1"/>
    <xf borderId="6" fillId="13" fontId="21" numFmtId="0" xfId="0" applyAlignment="1" applyBorder="1" applyFill="1" applyFont="1">
      <alignment horizontal="left" shrinkToFit="0" vertical="center" wrapText="1"/>
    </xf>
    <xf borderId="6" fillId="14" fontId="22" numFmtId="0" xfId="0" applyAlignment="1" applyBorder="1" applyFill="1" applyFont="1">
      <alignment horizontal="left" shrinkToFit="0" vertical="center" wrapText="1"/>
    </xf>
    <xf borderId="9" fillId="0" fontId="13" numFmtId="0" xfId="0" applyBorder="1" applyFont="1"/>
    <xf borderId="3" fillId="4" fontId="23" numFmtId="0" xfId="0" applyAlignment="1" applyBorder="1" applyFont="1">
      <alignment horizontal="left" shrinkToFit="0" vertical="center" wrapText="0"/>
    </xf>
    <xf borderId="2" fillId="4" fontId="14" numFmtId="0" xfId="0" applyAlignment="1" applyBorder="1" applyFont="1">
      <alignment shrinkToFit="0" vertical="bottom" wrapText="0"/>
    </xf>
    <xf borderId="2" fillId="6" fontId="14" numFmtId="0" xfId="0" applyAlignment="1" applyBorder="1" applyFont="1">
      <alignment shrinkToFit="0" vertical="bottom" wrapText="0"/>
    </xf>
    <xf borderId="2" fillId="5" fontId="14" numFmtId="0" xfId="0" applyAlignment="1" applyBorder="1" applyFont="1">
      <alignment shrinkToFit="0" vertical="bottom" wrapText="0"/>
    </xf>
    <xf borderId="2" fillId="15" fontId="14" numFmtId="0" xfId="0" applyAlignment="1" applyBorder="1" applyFill="1" applyFont="1">
      <alignment shrinkToFit="0" vertical="bottom" wrapText="0"/>
    </xf>
    <xf borderId="6" fillId="8" fontId="24" numFmtId="167" xfId="0" applyAlignment="1" applyBorder="1" applyFont="1" applyNumberFormat="1">
      <alignment horizontal="center" shrinkToFit="0" vertical="center" wrapText="0"/>
    </xf>
    <xf borderId="6" fillId="8" fontId="25" numFmtId="167" xfId="0" applyAlignment="1" applyBorder="1" applyFont="1" applyNumberFormat="1">
      <alignment horizontal="center" shrinkToFit="0" vertical="center" wrapText="0"/>
    </xf>
    <xf borderId="6" fillId="8" fontId="26" numFmtId="168" xfId="0" applyAlignment="1" applyBorder="1" applyFont="1" applyNumberFormat="1">
      <alignment horizontal="center" shrinkToFit="0" vertical="center" wrapText="0"/>
    </xf>
    <xf borderId="6" fillId="8" fontId="27" numFmtId="1" xfId="0" applyAlignment="1" applyBorder="1" applyFont="1" applyNumberFormat="1">
      <alignment horizontal="center" shrinkToFit="0" vertical="center" wrapText="0"/>
    </xf>
    <xf borderId="6" fillId="8" fontId="28" numFmtId="0" xfId="0" applyAlignment="1" applyBorder="1" applyFont="1">
      <alignment horizontal="center" shrinkToFit="0" vertical="center" wrapText="0"/>
    </xf>
    <xf borderId="2" fillId="8" fontId="14" numFmtId="0" xfId="0" applyAlignment="1" applyBorder="1" applyFont="1">
      <alignment shrinkToFit="0" vertical="bottom" wrapText="0"/>
    </xf>
    <xf borderId="2" fillId="16" fontId="14" numFmtId="0" xfId="0" applyAlignment="1" applyBorder="1" applyFill="1" applyFont="1">
      <alignment shrinkToFit="0" vertical="bottom" wrapText="0"/>
    </xf>
    <xf borderId="2" fillId="17" fontId="14" numFmtId="0" xfId="0" applyAlignment="1" applyBorder="1" applyFill="1" applyFont="1">
      <alignment shrinkToFit="0" vertical="bottom" wrapText="0"/>
    </xf>
    <xf borderId="2" fillId="18" fontId="14" numFmtId="0" xfId="0" applyAlignment="1" applyBorder="1" applyFill="1" applyFont="1">
      <alignment shrinkToFit="0" vertical="bottom" wrapText="0"/>
    </xf>
    <xf borderId="6" fillId="8" fontId="29" numFmtId="1" xfId="0" applyAlignment="1" applyBorder="1" applyFont="1" applyNumberFormat="1">
      <alignment horizontal="center" shrinkToFit="0" vertical="center" wrapText="0"/>
    </xf>
    <xf borderId="6" fillId="8" fontId="26" numFmtId="1" xfId="0" applyAlignment="1" applyBorder="1" applyFont="1" applyNumberFormat="1">
      <alignment horizontal="center" shrinkToFit="0" vertical="center" wrapText="0"/>
    </xf>
    <xf borderId="6" fillId="8" fontId="30" numFmtId="1" xfId="0" applyAlignment="1" applyBorder="1" applyFont="1" applyNumberFormat="1">
      <alignment horizontal="center" shrinkToFit="0" vertical="center" wrapText="0"/>
    </xf>
    <xf borderId="6" fillId="8" fontId="31" numFmtId="1" xfId="0" applyAlignment="1" applyBorder="1" applyFont="1" applyNumberFormat="1">
      <alignment horizontal="center" shrinkToFit="0" vertical="center" wrapText="0"/>
    </xf>
    <xf borderId="3" fillId="4" fontId="1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4">
    <dxf>
      <font>
        <b/>
        <sz val="9.0"/>
        <color rgb="FF2E7D32"/>
      </font>
      <fill>
        <patternFill patternType="solid">
          <fgColor rgb="FFE8F5E9"/>
          <bgColor rgb="FFE8F5E9"/>
        </patternFill>
      </fill>
      <border/>
    </dxf>
    <dxf>
      <font>
        <b/>
        <sz val="9.0"/>
        <color rgb="FF1565C0"/>
      </font>
      <fill>
        <patternFill patternType="solid">
          <fgColor rgb="FFE3F2FD"/>
          <bgColor rgb="FFE3F2FD"/>
        </patternFill>
      </fill>
      <border/>
    </dxf>
    <dxf>
      <font>
        <b/>
        <sz val="9.0"/>
        <color rgb="FFC62828"/>
      </font>
      <fill>
        <patternFill patternType="solid">
          <fgColor rgb="FFFFEBEE"/>
          <bgColor rgb="FFFFEBEE"/>
        </patternFill>
      </fill>
      <border/>
    </dxf>
    <dxf>
      <font>
        <b/>
        <sz val="9.0"/>
        <color rgb="FFE65100"/>
      </font>
      <fill>
        <patternFill patternType="solid">
          <fgColor rgb="FFFFF8E1"/>
          <bgColor rgb="FFFFF8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6E5A"/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3" width="22.0"/>
    <col customWidth="1" min="4" max="4" width="8.0"/>
    <col customWidth="1" min="5" max="5" width="34.0"/>
    <col customWidth="1" min="6" max="6" width="20.0"/>
    <col customWidth="1" min="7" max="12" width="16.0"/>
    <col customWidth="1" min="13" max="13" width="14.0"/>
    <col customWidth="1" min="14" max="14" width="18.0"/>
    <col customWidth="1" min="15" max="15" width="14.0"/>
    <col customWidth="1" hidden="1" min="16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1</v>
      </c>
      <c r="G1" s="4" t="s">
        <v>5</v>
      </c>
      <c r="H1" s="4" t="s">
        <v>6</v>
      </c>
      <c r="I1" s="5" t="s">
        <v>7</v>
      </c>
      <c r="J1" s="5" t="s">
        <v>8</v>
      </c>
      <c r="K1" s="6" t="s">
        <v>9</v>
      </c>
      <c r="L1" s="6" t="s">
        <v>10</v>
      </c>
      <c r="M1" s="4" t="s">
        <v>11</v>
      </c>
      <c r="N1" s="3" t="s">
        <v>12</v>
      </c>
      <c r="O1" s="2" t="s">
        <v>13</v>
      </c>
    </row>
    <row r="2" ht="25.5" customHeight="1">
      <c r="A2" s="7"/>
      <c r="B2" s="8"/>
      <c r="C2" s="8"/>
      <c r="D2" s="9" t="str">
        <f t="shared" ref="D2:D262" si="1">Z2</f>
        <v/>
      </c>
      <c r="E2" s="10"/>
      <c r="F2" s="10"/>
      <c r="G2" s="11"/>
      <c r="H2" s="11"/>
      <c r="I2" s="11"/>
      <c r="J2" s="11"/>
      <c r="K2" s="12"/>
      <c r="L2" s="12"/>
      <c r="M2" s="13"/>
      <c r="N2" s="14" t="str">
        <f t="shared" ref="N2:N262" si="2">IF(M2="","—",IF(M2=0,"Não iniciado",IF(M2=100,"Concluído",IF(AND(H2&lt;&gt;"",TODAY()&gt;H2),"Atrasado","Em dia"))))</f>
        <v>—</v>
      </c>
      <c r="O2" s="15" t="str">
        <f t="shared" ref="O2:O262" si="3">IF(OR(K2=0,K2=""),"—",(L2-K2)/K2)</f>
        <v>—</v>
      </c>
      <c r="Y2" s="16">
        <v>1.0</v>
      </c>
      <c r="Z2" s="17" t="str">
        <f t="shared" ref="Z2:Z10" si="4">IF(E2&lt;&gt;"","R00" &amp; Y2,"")</f>
        <v/>
      </c>
    </row>
    <row r="3" ht="25.5" customHeight="1">
      <c r="D3" s="18" t="str">
        <f t="shared" si="1"/>
        <v/>
      </c>
      <c r="E3" s="19"/>
      <c r="F3" s="19"/>
      <c r="G3" s="20"/>
      <c r="H3" s="20"/>
      <c r="I3" s="20"/>
      <c r="J3" s="20"/>
      <c r="K3" s="21"/>
      <c r="L3" s="21"/>
      <c r="M3" s="22"/>
      <c r="N3" s="23" t="str">
        <f t="shared" si="2"/>
        <v>—</v>
      </c>
      <c r="O3" s="24" t="str">
        <f t="shared" si="3"/>
        <v>—</v>
      </c>
      <c r="Y3" s="16">
        <f t="shared" ref="Y3:Y261" si="5">Y2+1</f>
        <v>2</v>
      </c>
      <c r="Z3" s="17" t="str">
        <f t="shared" si="4"/>
        <v/>
      </c>
    </row>
    <row r="4" ht="25.5" customHeight="1">
      <c r="A4" s="25" t="s">
        <v>14</v>
      </c>
      <c r="B4" s="26"/>
      <c r="D4" s="9" t="str">
        <f t="shared" si="1"/>
        <v/>
      </c>
      <c r="E4" s="10"/>
      <c r="F4" s="10"/>
      <c r="G4" s="11"/>
      <c r="H4" s="11"/>
      <c r="I4" s="11"/>
      <c r="J4" s="11"/>
      <c r="K4" s="12"/>
      <c r="L4" s="12"/>
      <c r="M4" s="13"/>
      <c r="N4" s="14" t="str">
        <f t="shared" si="2"/>
        <v>—</v>
      </c>
      <c r="O4" s="15" t="str">
        <f t="shared" si="3"/>
        <v>—</v>
      </c>
      <c r="Y4" s="16">
        <f t="shared" si="5"/>
        <v>3</v>
      </c>
      <c r="Z4" s="17" t="str">
        <f t="shared" si="4"/>
        <v/>
      </c>
    </row>
    <row r="5" ht="25.5" customHeight="1">
      <c r="A5" s="27" t="s">
        <v>15</v>
      </c>
      <c r="B5" s="26"/>
      <c r="D5" s="18" t="str">
        <f t="shared" si="1"/>
        <v/>
      </c>
      <c r="E5" s="19"/>
      <c r="F5" s="19"/>
      <c r="G5" s="20"/>
      <c r="H5" s="20"/>
      <c r="I5" s="20"/>
      <c r="J5" s="20"/>
      <c r="K5" s="21"/>
      <c r="L5" s="21"/>
      <c r="M5" s="22"/>
      <c r="N5" s="23" t="str">
        <f t="shared" si="2"/>
        <v>—</v>
      </c>
      <c r="O5" s="24" t="str">
        <f t="shared" si="3"/>
        <v>—</v>
      </c>
      <c r="Y5" s="16">
        <f t="shared" si="5"/>
        <v>4</v>
      </c>
      <c r="Z5" s="17" t="str">
        <f t="shared" si="4"/>
        <v/>
      </c>
    </row>
    <row r="6" ht="25.5" customHeight="1">
      <c r="D6" s="9" t="str">
        <f t="shared" si="1"/>
        <v/>
      </c>
      <c r="E6" s="10"/>
      <c r="F6" s="10"/>
      <c r="G6" s="11"/>
      <c r="H6" s="11"/>
      <c r="I6" s="11"/>
      <c r="J6" s="11"/>
      <c r="K6" s="12"/>
      <c r="L6" s="12"/>
      <c r="M6" s="13"/>
      <c r="N6" s="14" t="str">
        <f t="shared" si="2"/>
        <v>—</v>
      </c>
      <c r="O6" s="15" t="str">
        <f t="shared" si="3"/>
        <v>—</v>
      </c>
      <c r="Y6" s="16">
        <f t="shared" si="5"/>
        <v>5</v>
      </c>
      <c r="Z6" s="17" t="str">
        <f t="shared" si="4"/>
        <v/>
      </c>
    </row>
    <row r="7" ht="25.5" customHeight="1">
      <c r="D7" s="18" t="str">
        <f t="shared" si="1"/>
        <v/>
      </c>
      <c r="E7" s="19"/>
      <c r="F7" s="19"/>
      <c r="G7" s="20"/>
      <c r="H7" s="20"/>
      <c r="I7" s="20"/>
      <c r="J7" s="20"/>
      <c r="K7" s="21"/>
      <c r="L7" s="21"/>
      <c r="M7" s="22"/>
      <c r="N7" s="23" t="str">
        <f t="shared" si="2"/>
        <v>—</v>
      </c>
      <c r="O7" s="24" t="str">
        <f t="shared" si="3"/>
        <v>—</v>
      </c>
      <c r="Y7" s="16">
        <f t="shared" si="5"/>
        <v>6</v>
      </c>
      <c r="Z7" s="17" t="str">
        <f t="shared" si="4"/>
        <v/>
      </c>
    </row>
    <row r="8" ht="25.5" customHeight="1">
      <c r="D8" s="9" t="str">
        <f t="shared" si="1"/>
        <v/>
      </c>
      <c r="E8" s="10"/>
      <c r="F8" s="10"/>
      <c r="G8" s="11"/>
      <c r="H8" s="11"/>
      <c r="I8" s="11"/>
      <c r="J8" s="11"/>
      <c r="K8" s="12"/>
      <c r="L8" s="12"/>
      <c r="M8" s="13"/>
      <c r="N8" s="14" t="str">
        <f t="shared" si="2"/>
        <v>—</v>
      </c>
      <c r="O8" s="15" t="str">
        <f t="shared" si="3"/>
        <v>—</v>
      </c>
      <c r="Y8" s="16">
        <f t="shared" si="5"/>
        <v>7</v>
      </c>
      <c r="Z8" s="17" t="str">
        <f t="shared" si="4"/>
        <v/>
      </c>
    </row>
    <row r="9" ht="25.5" customHeight="1">
      <c r="D9" s="18" t="str">
        <f t="shared" si="1"/>
        <v/>
      </c>
      <c r="E9" s="19"/>
      <c r="F9" s="19"/>
      <c r="G9" s="20"/>
      <c r="H9" s="20"/>
      <c r="I9" s="20"/>
      <c r="J9" s="20"/>
      <c r="K9" s="21"/>
      <c r="L9" s="21"/>
      <c r="M9" s="22"/>
      <c r="N9" s="23" t="str">
        <f t="shared" si="2"/>
        <v>—</v>
      </c>
      <c r="O9" s="24" t="str">
        <f t="shared" si="3"/>
        <v>—</v>
      </c>
      <c r="Y9" s="16">
        <f t="shared" si="5"/>
        <v>8</v>
      </c>
      <c r="Z9" s="17" t="str">
        <f t="shared" si="4"/>
        <v/>
      </c>
    </row>
    <row r="10" ht="25.5" customHeight="1">
      <c r="D10" s="9" t="str">
        <f t="shared" si="1"/>
        <v/>
      </c>
      <c r="E10" s="10"/>
      <c r="F10" s="10"/>
      <c r="G10" s="11"/>
      <c r="H10" s="11"/>
      <c r="I10" s="11"/>
      <c r="J10" s="11"/>
      <c r="K10" s="12"/>
      <c r="L10" s="12"/>
      <c r="M10" s="13"/>
      <c r="N10" s="14" t="str">
        <f t="shared" si="2"/>
        <v>—</v>
      </c>
      <c r="O10" s="15" t="str">
        <f t="shared" si="3"/>
        <v>—</v>
      </c>
      <c r="Y10" s="16">
        <f t="shared" si="5"/>
        <v>9</v>
      </c>
      <c r="Z10" s="17" t="str">
        <f t="shared" si="4"/>
        <v/>
      </c>
    </row>
    <row r="11" ht="25.5" customHeight="1">
      <c r="D11" s="18" t="str">
        <f t="shared" si="1"/>
        <v/>
      </c>
      <c r="E11" s="19"/>
      <c r="F11" s="19"/>
      <c r="G11" s="20"/>
      <c r="H11" s="20"/>
      <c r="I11" s="20"/>
      <c r="J11" s="20"/>
      <c r="K11" s="21"/>
      <c r="L11" s="21"/>
      <c r="M11" s="22"/>
      <c r="N11" s="23" t="str">
        <f t="shared" si="2"/>
        <v>—</v>
      </c>
      <c r="O11" s="24" t="str">
        <f t="shared" si="3"/>
        <v>—</v>
      </c>
      <c r="Y11" s="16">
        <f t="shared" si="5"/>
        <v>10</v>
      </c>
      <c r="Z11" s="17" t="str">
        <f t="shared" ref="Z11:Z261" si="6">IF(E11&lt;&gt;"","R0" &amp; Y11,"")</f>
        <v/>
      </c>
    </row>
    <row r="12" ht="25.5" customHeight="1">
      <c r="D12" s="9" t="str">
        <f t="shared" si="1"/>
        <v/>
      </c>
      <c r="E12" s="10"/>
      <c r="F12" s="10"/>
      <c r="G12" s="11"/>
      <c r="H12" s="11"/>
      <c r="I12" s="11"/>
      <c r="J12" s="11"/>
      <c r="K12" s="12"/>
      <c r="L12" s="12"/>
      <c r="M12" s="13"/>
      <c r="N12" s="14" t="str">
        <f t="shared" si="2"/>
        <v>—</v>
      </c>
      <c r="O12" s="15" t="str">
        <f t="shared" si="3"/>
        <v>—</v>
      </c>
      <c r="Y12" s="16">
        <f t="shared" si="5"/>
        <v>11</v>
      </c>
      <c r="Z12" s="17" t="str">
        <f t="shared" si="6"/>
        <v/>
      </c>
    </row>
    <row r="13" ht="25.5" customHeight="1">
      <c r="D13" s="18" t="str">
        <f t="shared" si="1"/>
        <v/>
      </c>
      <c r="E13" s="19"/>
      <c r="F13" s="19"/>
      <c r="G13" s="20"/>
      <c r="H13" s="20"/>
      <c r="I13" s="20"/>
      <c r="J13" s="20"/>
      <c r="K13" s="21"/>
      <c r="L13" s="21"/>
      <c r="M13" s="22"/>
      <c r="N13" s="23" t="str">
        <f t="shared" si="2"/>
        <v>—</v>
      </c>
      <c r="O13" s="24" t="str">
        <f t="shared" si="3"/>
        <v>—</v>
      </c>
      <c r="Y13" s="16">
        <f t="shared" si="5"/>
        <v>12</v>
      </c>
      <c r="Z13" s="17" t="str">
        <f t="shared" si="6"/>
        <v/>
      </c>
    </row>
    <row r="14" ht="25.5" customHeight="1">
      <c r="D14" s="9" t="str">
        <f t="shared" si="1"/>
        <v/>
      </c>
      <c r="E14" s="10"/>
      <c r="F14" s="10"/>
      <c r="G14" s="11"/>
      <c r="H14" s="11"/>
      <c r="I14" s="11"/>
      <c r="J14" s="11"/>
      <c r="K14" s="12"/>
      <c r="L14" s="12"/>
      <c r="M14" s="13"/>
      <c r="N14" s="14" t="str">
        <f t="shared" si="2"/>
        <v>—</v>
      </c>
      <c r="O14" s="15" t="str">
        <f t="shared" si="3"/>
        <v>—</v>
      </c>
      <c r="Y14" s="16">
        <f t="shared" si="5"/>
        <v>13</v>
      </c>
      <c r="Z14" s="17" t="str">
        <f t="shared" si="6"/>
        <v/>
      </c>
    </row>
    <row r="15" ht="25.5" customHeight="1">
      <c r="D15" s="18" t="str">
        <f t="shared" si="1"/>
        <v/>
      </c>
      <c r="E15" s="19"/>
      <c r="F15" s="19"/>
      <c r="G15" s="20"/>
      <c r="H15" s="20"/>
      <c r="I15" s="20"/>
      <c r="J15" s="20"/>
      <c r="K15" s="21"/>
      <c r="L15" s="21"/>
      <c r="M15" s="22"/>
      <c r="N15" s="23" t="str">
        <f t="shared" si="2"/>
        <v>—</v>
      </c>
      <c r="O15" s="24" t="str">
        <f t="shared" si="3"/>
        <v>—</v>
      </c>
      <c r="Y15" s="16">
        <f t="shared" si="5"/>
        <v>14</v>
      </c>
      <c r="Z15" s="17" t="str">
        <f t="shared" si="6"/>
        <v/>
      </c>
    </row>
    <row r="16" ht="25.5" customHeight="1">
      <c r="D16" s="9" t="str">
        <f t="shared" si="1"/>
        <v/>
      </c>
      <c r="E16" s="10"/>
      <c r="F16" s="10"/>
      <c r="G16" s="11"/>
      <c r="H16" s="11"/>
      <c r="I16" s="11"/>
      <c r="J16" s="11"/>
      <c r="K16" s="12"/>
      <c r="L16" s="12"/>
      <c r="M16" s="13"/>
      <c r="N16" s="14" t="str">
        <f t="shared" si="2"/>
        <v>—</v>
      </c>
      <c r="O16" s="15" t="str">
        <f t="shared" si="3"/>
        <v>—</v>
      </c>
      <c r="Y16" s="16">
        <f t="shared" si="5"/>
        <v>15</v>
      </c>
      <c r="Z16" s="17" t="str">
        <f t="shared" si="6"/>
        <v/>
      </c>
    </row>
    <row r="17" ht="25.5" customHeight="1">
      <c r="D17" s="18" t="str">
        <f t="shared" si="1"/>
        <v/>
      </c>
      <c r="E17" s="19"/>
      <c r="F17" s="19"/>
      <c r="G17" s="20"/>
      <c r="H17" s="20"/>
      <c r="I17" s="20"/>
      <c r="J17" s="20"/>
      <c r="K17" s="21"/>
      <c r="L17" s="21"/>
      <c r="M17" s="22"/>
      <c r="N17" s="23" t="str">
        <f t="shared" si="2"/>
        <v>—</v>
      </c>
      <c r="O17" s="24" t="str">
        <f t="shared" si="3"/>
        <v>—</v>
      </c>
      <c r="Y17" s="16">
        <f t="shared" si="5"/>
        <v>16</v>
      </c>
      <c r="Z17" s="17" t="str">
        <f t="shared" si="6"/>
        <v/>
      </c>
    </row>
    <row r="18" ht="25.5" customHeight="1">
      <c r="D18" s="9" t="str">
        <f t="shared" si="1"/>
        <v/>
      </c>
      <c r="E18" s="10"/>
      <c r="F18" s="10"/>
      <c r="G18" s="11"/>
      <c r="H18" s="11"/>
      <c r="I18" s="11"/>
      <c r="J18" s="11"/>
      <c r="K18" s="12"/>
      <c r="L18" s="12"/>
      <c r="M18" s="13"/>
      <c r="N18" s="14" t="str">
        <f t="shared" si="2"/>
        <v>—</v>
      </c>
      <c r="O18" s="15" t="str">
        <f t="shared" si="3"/>
        <v>—</v>
      </c>
      <c r="Y18" s="16">
        <f t="shared" si="5"/>
        <v>17</v>
      </c>
      <c r="Z18" s="17" t="str">
        <f t="shared" si="6"/>
        <v/>
      </c>
    </row>
    <row r="19" ht="25.5" customHeight="1">
      <c r="D19" s="18" t="str">
        <f t="shared" si="1"/>
        <v/>
      </c>
      <c r="E19" s="19"/>
      <c r="F19" s="19"/>
      <c r="G19" s="20"/>
      <c r="H19" s="20"/>
      <c r="I19" s="20"/>
      <c r="J19" s="20"/>
      <c r="K19" s="21"/>
      <c r="L19" s="21"/>
      <c r="M19" s="22"/>
      <c r="N19" s="23" t="str">
        <f t="shared" si="2"/>
        <v>—</v>
      </c>
      <c r="O19" s="24" t="str">
        <f t="shared" si="3"/>
        <v>—</v>
      </c>
      <c r="Y19" s="16">
        <f t="shared" si="5"/>
        <v>18</v>
      </c>
      <c r="Z19" s="17" t="str">
        <f t="shared" si="6"/>
        <v/>
      </c>
    </row>
    <row r="20" ht="25.5" customHeight="1">
      <c r="D20" s="9" t="str">
        <f t="shared" si="1"/>
        <v/>
      </c>
      <c r="E20" s="10"/>
      <c r="F20" s="10"/>
      <c r="G20" s="11"/>
      <c r="H20" s="11"/>
      <c r="I20" s="11"/>
      <c r="J20" s="11"/>
      <c r="K20" s="12"/>
      <c r="L20" s="12"/>
      <c r="M20" s="13"/>
      <c r="N20" s="14" t="str">
        <f t="shared" si="2"/>
        <v>—</v>
      </c>
      <c r="O20" s="15" t="str">
        <f t="shared" si="3"/>
        <v>—</v>
      </c>
      <c r="Y20" s="16">
        <f t="shared" si="5"/>
        <v>19</v>
      </c>
      <c r="Z20" s="17" t="str">
        <f t="shared" si="6"/>
        <v/>
      </c>
    </row>
    <row r="21" ht="25.5" customHeight="1">
      <c r="D21" s="18" t="str">
        <f t="shared" si="1"/>
        <v/>
      </c>
      <c r="E21" s="19"/>
      <c r="F21" s="19"/>
      <c r="G21" s="20"/>
      <c r="H21" s="20"/>
      <c r="I21" s="20"/>
      <c r="J21" s="20"/>
      <c r="K21" s="21"/>
      <c r="L21" s="21"/>
      <c r="M21" s="22"/>
      <c r="N21" s="23" t="str">
        <f t="shared" si="2"/>
        <v>—</v>
      </c>
      <c r="O21" s="24" t="str">
        <f t="shared" si="3"/>
        <v>—</v>
      </c>
      <c r="Y21" s="16">
        <f t="shared" si="5"/>
        <v>20</v>
      </c>
      <c r="Z21" s="17" t="str">
        <f t="shared" si="6"/>
        <v/>
      </c>
    </row>
    <row r="22" ht="25.5" customHeight="1">
      <c r="D22" s="9" t="str">
        <f t="shared" si="1"/>
        <v/>
      </c>
      <c r="E22" s="10"/>
      <c r="F22" s="10"/>
      <c r="G22" s="11"/>
      <c r="H22" s="11"/>
      <c r="I22" s="11"/>
      <c r="J22" s="11"/>
      <c r="K22" s="12"/>
      <c r="L22" s="12"/>
      <c r="M22" s="13"/>
      <c r="N22" s="14" t="str">
        <f t="shared" si="2"/>
        <v>—</v>
      </c>
      <c r="O22" s="15" t="str">
        <f t="shared" si="3"/>
        <v>—</v>
      </c>
      <c r="Y22" s="16">
        <f t="shared" si="5"/>
        <v>21</v>
      </c>
      <c r="Z22" s="17" t="str">
        <f t="shared" si="6"/>
        <v/>
      </c>
    </row>
    <row r="23" ht="25.5" customHeight="1">
      <c r="D23" s="18" t="str">
        <f t="shared" si="1"/>
        <v/>
      </c>
      <c r="E23" s="19"/>
      <c r="F23" s="19"/>
      <c r="G23" s="20"/>
      <c r="H23" s="20"/>
      <c r="I23" s="20"/>
      <c r="J23" s="20"/>
      <c r="K23" s="21"/>
      <c r="L23" s="21"/>
      <c r="M23" s="22"/>
      <c r="N23" s="23" t="str">
        <f t="shared" si="2"/>
        <v>—</v>
      </c>
      <c r="O23" s="24" t="str">
        <f t="shared" si="3"/>
        <v>—</v>
      </c>
      <c r="Y23" s="16">
        <f t="shared" si="5"/>
        <v>22</v>
      </c>
      <c r="Z23" s="17" t="str">
        <f t="shared" si="6"/>
        <v/>
      </c>
    </row>
    <row r="24" ht="25.5" customHeight="1">
      <c r="D24" s="9" t="str">
        <f t="shared" si="1"/>
        <v/>
      </c>
      <c r="E24" s="10"/>
      <c r="F24" s="10"/>
      <c r="G24" s="11"/>
      <c r="H24" s="11"/>
      <c r="I24" s="11"/>
      <c r="J24" s="11"/>
      <c r="K24" s="12"/>
      <c r="L24" s="12"/>
      <c r="M24" s="13"/>
      <c r="N24" s="14" t="str">
        <f t="shared" si="2"/>
        <v>—</v>
      </c>
      <c r="O24" s="15" t="str">
        <f t="shared" si="3"/>
        <v>—</v>
      </c>
      <c r="Y24" s="16">
        <f t="shared" si="5"/>
        <v>23</v>
      </c>
      <c r="Z24" s="17" t="str">
        <f t="shared" si="6"/>
        <v/>
      </c>
    </row>
    <row r="25" ht="25.5" customHeight="1">
      <c r="D25" s="18" t="str">
        <f t="shared" si="1"/>
        <v/>
      </c>
      <c r="E25" s="19"/>
      <c r="F25" s="19"/>
      <c r="G25" s="20"/>
      <c r="H25" s="20"/>
      <c r="I25" s="20"/>
      <c r="J25" s="20"/>
      <c r="K25" s="21"/>
      <c r="L25" s="21"/>
      <c r="M25" s="22"/>
      <c r="N25" s="23" t="str">
        <f t="shared" si="2"/>
        <v>—</v>
      </c>
      <c r="O25" s="24" t="str">
        <f t="shared" si="3"/>
        <v>—</v>
      </c>
      <c r="Y25" s="16">
        <f t="shared" si="5"/>
        <v>24</v>
      </c>
      <c r="Z25" s="17" t="str">
        <f t="shared" si="6"/>
        <v/>
      </c>
    </row>
    <row r="26" ht="25.5" customHeight="1">
      <c r="D26" s="9" t="str">
        <f t="shared" si="1"/>
        <v/>
      </c>
      <c r="E26" s="10"/>
      <c r="F26" s="10"/>
      <c r="G26" s="11"/>
      <c r="H26" s="11"/>
      <c r="I26" s="11"/>
      <c r="J26" s="11"/>
      <c r="K26" s="12"/>
      <c r="L26" s="12"/>
      <c r="M26" s="13"/>
      <c r="N26" s="14" t="str">
        <f t="shared" si="2"/>
        <v>—</v>
      </c>
      <c r="O26" s="15" t="str">
        <f t="shared" si="3"/>
        <v>—</v>
      </c>
      <c r="Y26" s="16">
        <f t="shared" si="5"/>
        <v>25</v>
      </c>
      <c r="Z26" s="17" t="str">
        <f t="shared" si="6"/>
        <v/>
      </c>
    </row>
    <row r="27" ht="25.5" customHeight="1">
      <c r="D27" s="18" t="str">
        <f t="shared" si="1"/>
        <v/>
      </c>
      <c r="E27" s="19"/>
      <c r="F27" s="19"/>
      <c r="G27" s="20"/>
      <c r="H27" s="20"/>
      <c r="I27" s="20"/>
      <c r="J27" s="20"/>
      <c r="K27" s="21"/>
      <c r="L27" s="21"/>
      <c r="M27" s="22"/>
      <c r="N27" s="23" t="str">
        <f t="shared" si="2"/>
        <v>—</v>
      </c>
      <c r="O27" s="24" t="str">
        <f t="shared" si="3"/>
        <v>—</v>
      </c>
      <c r="Y27" s="16">
        <f t="shared" si="5"/>
        <v>26</v>
      </c>
      <c r="Z27" s="17" t="str">
        <f t="shared" si="6"/>
        <v/>
      </c>
    </row>
    <row r="28" ht="25.5" customHeight="1">
      <c r="D28" s="9" t="str">
        <f t="shared" si="1"/>
        <v/>
      </c>
      <c r="E28" s="10"/>
      <c r="F28" s="10"/>
      <c r="G28" s="11"/>
      <c r="H28" s="11"/>
      <c r="I28" s="11"/>
      <c r="J28" s="11"/>
      <c r="K28" s="12"/>
      <c r="L28" s="12"/>
      <c r="M28" s="13"/>
      <c r="N28" s="14" t="str">
        <f t="shared" si="2"/>
        <v>—</v>
      </c>
      <c r="O28" s="15" t="str">
        <f t="shared" si="3"/>
        <v>—</v>
      </c>
      <c r="Y28" s="16">
        <f t="shared" si="5"/>
        <v>27</v>
      </c>
      <c r="Z28" s="17" t="str">
        <f t="shared" si="6"/>
        <v/>
      </c>
    </row>
    <row r="29" ht="25.5" customHeight="1">
      <c r="D29" s="18" t="str">
        <f t="shared" si="1"/>
        <v/>
      </c>
      <c r="E29" s="19"/>
      <c r="F29" s="19"/>
      <c r="G29" s="20"/>
      <c r="H29" s="20"/>
      <c r="I29" s="20"/>
      <c r="J29" s="20"/>
      <c r="K29" s="21"/>
      <c r="L29" s="21"/>
      <c r="M29" s="22"/>
      <c r="N29" s="23" t="str">
        <f t="shared" si="2"/>
        <v>—</v>
      </c>
      <c r="O29" s="24" t="str">
        <f t="shared" si="3"/>
        <v>—</v>
      </c>
      <c r="Y29" s="16">
        <f t="shared" si="5"/>
        <v>28</v>
      </c>
      <c r="Z29" s="17" t="str">
        <f t="shared" si="6"/>
        <v/>
      </c>
    </row>
    <row r="30" ht="25.5" customHeight="1">
      <c r="D30" s="9" t="str">
        <f t="shared" si="1"/>
        <v/>
      </c>
      <c r="E30" s="10"/>
      <c r="F30" s="10"/>
      <c r="G30" s="11"/>
      <c r="H30" s="11"/>
      <c r="I30" s="11"/>
      <c r="J30" s="11"/>
      <c r="K30" s="12"/>
      <c r="L30" s="12"/>
      <c r="M30" s="13"/>
      <c r="N30" s="14" t="str">
        <f t="shared" si="2"/>
        <v>—</v>
      </c>
      <c r="O30" s="15" t="str">
        <f t="shared" si="3"/>
        <v>—</v>
      </c>
      <c r="Y30" s="16">
        <f t="shared" si="5"/>
        <v>29</v>
      </c>
      <c r="Z30" s="17" t="str">
        <f t="shared" si="6"/>
        <v/>
      </c>
    </row>
    <row r="31" ht="25.5" customHeight="1">
      <c r="D31" s="18" t="str">
        <f t="shared" si="1"/>
        <v/>
      </c>
      <c r="E31" s="19"/>
      <c r="F31" s="19"/>
      <c r="G31" s="20"/>
      <c r="H31" s="20"/>
      <c r="I31" s="20"/>
      <c r="J31" s="20"/>
      <c r="K31" s="21"/>
      <c r="L31" s="21"/>
      <c r="M31" s="22"/>
      <c r="N31" s="23" t="str">
        <f t="shared" si="2"/>
        <v>—</v>
      </c>
      <c r="O31" s="24" t="str">
        <f t="shared" si="3"/>
        <v>—</v>
      </c>
      <c r="Y31" s="16">
        <f t="shared" si="5"/>
        <v>30</v>
      </c>
      <c r="Z31" s="17" t="str">
        <f t="shared" si="6"/>
        <v/>
      </c>
    </row>
    <row r="32" ht="25.5" customHeight="1">
      <c r="D32" s="9" t="str">
        <f t="shared" si="1"/>
        <v/>
      </c>
      <c r="E32" s="10"/>
      <c r="F32" s="10"/>
      <c r="G32" s="11"/>
      <c r="H32" s="11"/>
      <c r="I32" s="11"/>
      <c r="J32" s="11"/>
      <c r="K32" s="12"/>
      <c r="L32" s="12"/>
      <c r="M32" s="13"/>
      <c r="N32" s="14" t="str">
        <f t="shared" si="2"/>
        <v>—</v>
      </c>
      <c r="O32" s="15" t="str">
        <f t="shared" si="3"/>
        <v>—</v>
      </c>
      <c r="Y32" s="16">
        <f t="shared" si="5"/>
        <v>31</v>
      </c>
      <c r="Z32" s="17" t="str">
        <f t="shared" si="6"/>
        <v/>
      </c>
    </row>
    <row r="33" ht="25.5" customHeight="1">
      <c r="D33" s="18" t="str">
        <f t="shared" si="1"/>
        <v/>
      </c>
      <c r="E33" s="19"/>
      <c r="F33" s="19"/>
      <c r="G33" s="20"/>
      <c r="H33" s="20"/>
      <c r="I33" s="20"/>
      <c r="J33" s="20"/>
      <c r="K33" s="21"/>
      <c r="L33" s="21"/>
      <c r="M33" s="22"/>
      <c r="N33" s="23" t="str">
        <f t="shared" si="2"/>
        <v>—</v>
      </c>
      <c r="O33" s="24" t="str">
        <f t="shared" si="3"/>
        <v>—</v>
      </c>
      <c r="Y33" s="16">
        <f t="shared" si="5"/>
        <v>32</v>
      </c>
      <c r="Z33" s="17" t="str">
        <f t="shared" si="6"/>
        <v/>
      </c>
    </row>
    <row r="34" ht="25.5" customHeight="1">
      <c r="D34" s="9" t="str">
        <f t="shared" si="1"/>
        <v/>
      </c>
      <c r="E34" s="10"/>
      <c r="F34" s="10"/>
      <c r="G34" s="11"/>
      <c r="H34" s="11"/>
      <c r="I34" s="11"/>
      <c r="J34" s="11"/>
      <c r="K34" s="12"/>
      <c r="L34" s="12"/>
      <c r="M34" s="13"/>
      <c r="N34" s="14" t="str">
        <f t="shared" si="2"/>
        <v>—</v>
      </c>
      <c r="O34" s="15" t="str">
        <f t="shared" si="3"/>
        <v>—</v>
      </c>
      <c r="Y34" s="16">
        <f t="shared" si="5"/>
        <v>33</v>
      </c>
      <c r="Z34" s="17" t="str">
        <f t="shared" si="6"/>
        <v/>
      </c>
    </row>
    <row r="35" ht="25.5" customHeight="1">
      <c r="D35" s="18" t="str">
        <f t="shared" si="1"/>
        <v/>
      </c>
      <c r="E35" s="19"/>
      <c r="F35" s="19"/>
      <c r="G35" s="20"/>
      <c r="H35" s="20"/>
      <c r="I35" s="20"/>
      <c r="J35" s="20"/>
      <c r="K35" s="21"/>
      <c r="L35" s="21"/>
      <c r="M35" s="22"/>
      <c r="N35" s="23" t="str">
        <f t="shared" si="2"/>
        <v>—</v>
      </c>
      <c r="O35" s="24" t="str">
        <f t="shared" si="3"/>
        <v>—</v>
      </c>
      <c r="Y35" s="16">
        <f t="shared" si="5"/>
        <v>34</v>
      </c>
      <c r="Z35" s="17" t="str">
        <f t="shared" si="6"/>
        <v/>
      </c>
    </row>
    <row r="36" ht="25.5" customHeight="1">
      <c r="D36" s="9" t="str">
        <f t="shared" si="1"/>
        <v/>
      </c>
      <c r="E36" s="10"/>
      <c r="F36" s="10"/>
      <c r="G36" s="11"/>
      <c r="H36" s="11"/>
      <c r="I36" s="11"/>
      <c r="J36" s="11"/>
      <c r="K36" s="12"/>
      <c r="L36" s="12"/>
      <c r="M36" s="13"/>
      <c r="N36" s="14" t="str">
        <f t="shared" si="2"/>
        <v>—</v>
      </c>
      <c r="O36" s="15" t="str">
        <f t="shared" si="3"/>
        <v>—</v>
      </c>
      <c r="Y36" s="16">
        <f t="shared" si="5"/>
        <v>35</v>
      </c>
      <c r="Z36" s="17" t="str">
        <f t="shared" si="6"/>
        <v/>
      </c>
    </row>
    <row r="37" ht="25.5" customHeight="1">
      <c r="D37" s="18" t="str">
        <f t="shared" si="1"/>
        <v/>
      </c>
      <c r="E37" s="19"/>
      <c r="F37" s="19"/>
      <c r="G37" s="20"/>
      <c r="H37" s="20"/>
      <c r="I37" s="20"/>
      <c r="J37" s="20"/>
      <c r="K37" s="21"/>
      <c r="L37" s="21"/>
      <c r="M37" s="22"/>
      <c r="N37" s="23" t="str">
        <f t="shared" si="2"/>
        <v>—</v>
      </c>
      <c r="O37" s="24" t="str">
        <f t="shared" si="3"/>
        <v>—</v>
      </c>
      <c r="Y37" s="16">
        <f t="shared" si="5"/>
        <v>36</v>
      </c>
      <c r="Z37" s="17" t="str">
        <f t="shared" si="6"/>
        <v/>
      </c>
    </row>
    <row r="38" ht="25.5" customHeight="1">
      <c r="D38" s="9" t="str">
        <f t="shared" si="1"/>
        <v/>
      </c>
      <c r="E38" s="10"/>
      <c r="F38" s="10"/>
      <c r="G38" s="11"/>
      <c r="H38" s="11"/>
      <c r="I38" s="11"/>
      <c r="J38" s="11"/>
      <c r="K38" s="12"/>
      <c r="L38" s="12"/>
      <c r="M38" s="13"/>
      <c r="N38" s="14" t="str">
        <f t="shared" si="2"/>
        <v>—</v>
      </c>
      <c r="O38" s="15" t="str">
        <f t="shared" si="3"/>
        <v>—</v>
      </c>
      <c r="Y38" s="16">
        <f t="shared" si="5"/>
        <v>37</v>
      </c>
      <c r="Z38" s="17" t="str">
        <f t="shared" si="6"/>
        <v/>
      </c>
    </row>
    <row r="39" ht="25.5" customHeight="1">
      <c r="D39" s="18" t="str">
        <f t="shared" si="1"/>
        <v/>
      </c>
      <c r="E39" s="19"/>
      <c r="F39" s="19"/>
      <c r="G39" s="20"/>
      <c r="H39" s="20"/>
      <c r="I39" s="20"/>
      <c r="J39" s="20"/>
      <c r="K39" s="21"/>
      <c r="L39" s="21"/>
      <c r="M39" s="22"/>
      <c r="N39" s="23" t="str">
        <f t="shared" si="2"/>
        <v>—</v>
      </c>
      <c r="O39" s="24" t="str">
        <f t="shared" si="3"/>
        <v>—</v>
      </c>
      <c r="Y39" s="16">
        <f t="shared" si="5"/>
        <v>38</v>
      </c>
      <c r="Z39" s="17" t="str">
        <f t="shared" si="6"/>
        <v/>
      </c>
    </row>
    <row r="40" ht="25.5" customHeight="1">
      <c r="D40" s="9" t="str">
        <f t="shared" si="1"/>
        <v/>
      </c>
      <c r="E40" s="10"/>
      <c r="F40" s="10"/>
      <c r="G40" s="11"/>
      <c r="H40" s="11"/>
      <c r="I40" s="11"/>
      <c r="J40" s="11"/>
      <c r="K40" s="12"/>
      <c r="L40" s="12"/>
      <c r="M40" s="13"/>
      <c r="N40" s="14" t="str">
        <f t="shared" si="2"/>
        <v>—</v>
      </c>
      <c r="O40" s="15" t="str">
        <f t="shared" si="3"/>
        <v>—</v>
      </c>
      <c r="Y40" s="16">
        <f t="shared" si="5"/>
        <v>39</v>
      </c>
      <c r="Z40" s="17" t="str">
        <f t="shared" si="6"/>
        <v/>
      </c>
    </row>
    <row r="41" ht="25.5" customHeight="1">
      <c r="D41" s="18" t="str">
        <f t="shared" si="1"/>
        <v/>
      </c>
      <c r="E41" s="19"/>
      <c r="F41" s="19"/>
      <c r="G41" s="20"/>
      <c r="H41" s="20"/>
      <c r="I41" s="20"/>
      <c r="J41" s="20"/>
      <c r="K41" s="21"/>
      <c r="L41" s="21"/>
      <c r="M41" s="22"/>
      <c r="N41" s="23" t="str">
        <f t="shared" si="2"/>
        <v>—</v>
      </c>
      <c r="O41" s="24" t="str">
        <f t="shared" si="3"/>
        <v>—</v>
      </c>
      <c r="Y41" s="16">
        <f t="shared" si="5"/>
        <v>40</v>
      </c>
      <c r="Z41" s="17" t="str">
        <f t="shared" si="6"/>
        <v/>
      </c>
    </row>
    <row r="42" ht="25.5" customHeight="1">
      <c r="D42" s="9" t="str">
        <f t="shared" si="1"/>
        <v/>
      </c>
      <c r="E42" s="10"/>
      <c r="F42" s="10"/>
      <c r="G42" s="11"/>
      <c r="H42" s="11"/>
      <c r="I42" s="11"/>
      <c r="J42" s="11"/>
      <c r="K42" s="12"/>
      <c r="L42" s="12"/>
      <c r="M42" s="13"/>
      <c r="N42" s="14" t="str">
        <f t="shared" si="2"/>
        <v>—</v>
      </c>
      <c r="O42" s="15" t="str">
        <f t="shared" si="3"/>
        <v>—</v>
      </c>
      <c r="Y42" s="16">
        <f t="shared" si="5"/>
        <v>41</v>
      </c>
      <c r="Z42" s="17" t="str">
        <f t="shared" si="6"/>
        <v/>
      </c>
    </row>
    <row r="43" ht="25.5" customHeight="1">
      <c r="D43" s="18" t="str">
        <f t="shared" si="1"/>
        <v/>
      </c>
      <c r="E43" s="19"/>
      <c r="F43" s="19"/>
      <c r="G43" s="20"/>
      <c r="H43" s="20"/>
      <c r="I43" s="20"/>
      <c r="J43" s="20"/>
      <c r="K43" s="21"/>
      <c r="L43" s="21"/>
      <c r="M43" s="22"/>
      <c r="N43" s="23" t="str">
        <f t="shared" si="2"/>
        <v>—</v>
      </c>
      <c r="O43" s="24" t="str">
        <f t="shared" si="3"/>
        <v>—</v>
      </c>
      <c r="Y43" s="16">
        <f t="shared" si="5"/>
        <v>42</v>
      </c>
      <c r="Z43" s="17" t="str">
        <f t="shared" si="6"/>
        <v/>
      </c>
    </row>
    <row r="44" ht="25.5" customHeight="1">
      <c r="D44" s="9" t="str">
        <f t="shared" si="1"/>
        <v/>
      </c>
      <c r="E44" s="10"/>
      <c r="F44" s="10"/>
      <c r="G44" s="11"/>
      <c r="H44" s="11"/>
      <c r="I44" s="11"/>
      <c r="J44" s="11"/>
      <c r="K44" s="12"/>
      <c r="L44" s="12"/>
      <c r="M44" s="13"/>
      <c r="N44" s="14" t="str">
        <f t="shared" si="2"/>
        <v>—</v>
      </c>
      <c r="O44" s="15" t="str">
        <f t="shared" si="3"/>
        <v>—</v>
      </c>
      <c r="Y44" s="16">
        <f t="shared" si="5"/>
        <v>43</v>
      </c>
      <c r="Z44" s="17" t="str">
        <f t="shared" si="6"/>
        <v/>
      </c>
    </row>
    <row r="45" ht="25.5" customHeight="1">
      <c r="D45" s="18" t="str">
        <f t="shared" si="1"/>
        <v/>
      </c>
      <c r="E45" s="19"/>
      <c r="F45" s="19"/>
      <c r="G45" s="20"/>
      <c r="H45" s="20"/>
      <c r="I45" s="20"/>
      <c r="J45" s="20"/>
      <c r="K45" s="21"/>
      <c r="L45" s="21"/>
      <c r="M45" s="22"/>
      <c r="N45" s="23" t="str">
        <f t="shared" si="2"/>
        <v>—</v>
      </c>
      <c r="O45" s="24" t="str">
        <f t="shared" si="3"/>
        <v>—</v>
      </c>
      <c r="Y45" s="16">
        <f t="shared" si="5"/>
        <v>44</v>
      </c>
      <c r="Z45" s="17" t="str">
        <f t="shared" si="6"/>
        <v/>
      </c>
    </row>
    <row r="46" ht="25.5" customHeight="1">
      <c r="D46" s="9" t="str">
        <f t="shared" si="1"/>
        <v/>
      </c>
      <c r="E46" s="10"/>
      <c r="F46" s="10"/>
      <c r="G46" s="11"/>
      <c r="H46" s="11"/>
      <c r="I46" s="11"/>
      <c r="J46" s="11"/>
      <c r="K46" s="12"/>
      <c r="L46" s="12"/>
      <c r="M46" s="13"/>
      <c r="N46" s="14" t="str">
        <f t="shared" si="2"/>
        <v>—</v>
      </c>
      <c r="O46" s="15" t="str">
        <f t="shared" si="3"/>
        <v>—</v>
      </c>
      <c r="Y46" s="16">
        <f t="shared" si="5"/>
        <v>45</v>
      </c>
      <c r="Z46" s="17" t="str">
        <f t="shared" si="6"/>
        <v/>
      </c>
    </row>
    <row r="47" ht="25.5" customHeight="1">
      <c r="D47" s="18" t="str">
        <f t="shared" si="1"/>
        <v/>
      </c>
      <c r="E47" s="19"/>
      <c r="F47" s="19"/>
      <c r="G47" s="20"/>
      <c r="H47" s="20"/>
      <c r="I47" s="20"/>
      <c r="J47" s="20"/>
      <c r="K47" s="21"/>
      <c r="L47" s="21"/>
      <c r="M47" s="22"/>
      <c r="N47" s="23" t="str">
        <f t="shared" si="2"/>
        <v>—</v>
      </c>
      <c r="O47" s="24" t="str">
        <f t="shared" si="3"/>
        <v>—</v>
      </c>
      <c r="Y47" s="16">
        <f t="shared" si="5"/>
        <v>46</v>
      </c>
      <c r="Z47" s="17" t="str">
        <f t="shared" si="6"/>
        <v/>
      </c>
    </row>
    <row r="48" ht="25.5" customHeight="1">
      <c r="D48" s="9" t="str">
        <f t="shared" si="1"/>
        <v/>
      </c>
      <c r="E48" s="10"/>
      <c r="F48" s="10"/>
      <c r="G48" s="11"/>
      <c r="H48" s="11"/>
      <c r="I48" s="11"/>
      <c r="J48" s="11"/>
      <c r="K48" s="12"/>
      <c r="L48" s="12"/>
      <c r="M48" s="13"/>
      <c r="N48" s="14" t="str">
        <f t="shared" si="2"/>
        <v>—</v>
      </c>
      <c r="O48" s="15" t="str">
        <f t="shared" si="3"/>
        <v>—</v>
      </c>
      <c r="Y48" s="16">
        <f t="shared" si="5"/>
        <v>47</v>
      </c>
      <c r="Z48" s="17" t="str">
        <f t="shared" si="6"/>
        <v/>
      </c>
    </row>
    <row r="49" ht="25.5" customHeight="1">
      <c r="D49" s="18" t="str">
        <f t="shared" si="1"/>
        <v/>
      </c>
      <c r="E49" s="19"/>
      <c r="F49" s="19"/>
      <c r="G49" s="20"/>
      <c r="H49" s="20"/>
      <c r="I49" s="20"/>
      <c r="J49" s="20"/>
      <c r="K49" s="21"/>
      <c r="L49" s="21"/>
      <c r="M49" s="22"/>
      <c r="N49" s="23" t="str">
        <f t="shared" si="2"/>
        <v>—</v>
      </c>
      <c r="O49" s="24" t="str">
        <f t="shared" si="3"/>
        <v>—</v>
      </c>
      <c r="Y49" s="16">
        <f t="shared" si="5"/>
        <v>48</v>
      </c>
      <c r="Z49" s="17" t="str">
        <f t="shared" si="6"/>
        <v/>
      </c>
    </row>
    <row r="50" ht="25.5" customHeight="1">
      <c r="D50" s="9" t="str">
        <f t="shared" si="1"/>
        <v/>
      </c>
      <c r="E50" s="10"/>
      <c r="F50" s="10"/>
      <c r="G50" s="11"/>
      <c r="H50" s="11"/>
      <c r="I50" s="11"/>
      <c r="J50" s="11"/>
      <c r="K50" s="12"/>
      <c r="L50" s="12"/>
      <c r="M50" s="13"/>
      <c r="N50" s="14" t="str">
        <f t="shared" si="2"/>
        <v>—</v>
      </c>
      <c r="O50" s="15" t="str">
        <f t="shared" si="3"/>
        <v>—</v>
      </c>
      <c r="Y50" s="16">
        <f t="shared" si="5"/>
        <v>49</v>
      </c>
      <c r="Z50" s="17" t="str">
        <f t="shared" si="6"/>
        <v/>
      </c>
    </row>
    <row r="51" ht="25.5" customHeight="1">
      <c r="D51" s="18" t="str">
        <f t="shared" si="1"/>
        <v/>
      </c>
      <c r="E51" s="19"/>
      <c r="F51" s="19"/>
      <c r="G51" s="20"/>
      <c r="H51" s="20"/>
      <c r="I51" s="20"/>
      <c r="J51" s="20"/>
      <c r="K51" s="21"/>
      <c r="L51" s="21"/>
      <c r="M51" s="22"/>
      <c r="N51" s="23" t="str">
        <f t="shared" si="2"/>
        <v>—</v>
      </c>
      <c r="O51" s="24" t="str">
        <f t="shared" si="3"/>
        <v>—</v>
      </c>
      <c r="Y51" s="16">
        <f t="shared" si="5"/>
        <v>50</v>
      </c>
      <c r="Z51" s="17" t="str">
        <f t="shared" si="6"/>
        <v/>
      </c>
    </row>
    <row r="52" ht="25.5" customHeight="1">
      <c r="D52" s="9" t="str">
        <f t="shared" si="1"/>
        <v/>
      </c>
      <c r="E52" s="10"/>
      <c r="F52" s="10"/>
      <c r="G52" s="11"/>
      <c r="H52" s="11"/>
      <c r="I52" s="11"/>
      <c r="J52" s="11"/>
      <c r="K52" s="12"/>
      <c r="L52" s="12"/>
      <c r="M52" s="13"/>
      <c r="N52" s="14" t="str">
        <f t="shared" si="2"/>
        <v>—</v>
      </c>
      <c r="O52" s="15" t="str">
        <f t="shared" si="3"/>
        <v>—</v>
      </c>
      <c r="Y52" s="16">
        <f t="shared" si="5"/>
        <v>51</v>
      </c>
      <c r="Z52" s="17" t="str">
        <f t="shared" si="6"/>
        <v/>
      </c>
    </row>
    <row r="53" ht="25.5" customHeight="1">
      <c r="D53" s="18" t="str">
        <f t="shared" si="1"/>
        <v/>
      </c>
      <c r="E53" s="19"/>
      <c r="F53" s="19"/>
      <c r="G53" s="20"/>
      <c r="H53" s="20"/>
      <c r="I53" s="20"/>
      <c r="J53" s="20"/>
      <c r="K53" s="21"/>
      <c r="L53" s="21"/>
      <c r="M53" s="22"/>
      <c r="N53" s="23" t="str">
        <f t="shared" si="2"/>
        <v>—</v>
      </c>
      <c r="O53" s="24" t="str">
        <f t="shared" si="3"/>
        <v>—</v>
      </c>
      <c r="Y53" s="16">
        <f t="shared" si="5"/>
        <v>52</v>
      </c>
      <c r="Z53" s="17" t="str">
        <f t="shared" si="6"/>
        <v/>
      </c>
    </row>
    <row r="54" ht="25.5" customHeight="1">
      <c r="D54" s="9" t="str">
        <f t="shared" si="1"/>
        <v/>
      </c>
      <c r="E54" s="10"/>
      <c r="F54" s="10"/>
      <c r="G54" s="11"/>
      <c r="H54" s="11"/>
      <c r="I54" s="11"/>
      <c r="J54" s="11"/>
      <c r="K54" s="12"/>
      <c r="L54" s="12"/>
      <c r="M54" s="13"/>
      <c r="N54" s="14" t="str">
        <f t="shared" si="2"/>
        <v>—</v>
      </c>
      <c r="O54" s="15" t="str">
        <f t="shared" si="3"/>
        <v>—</v>
      </c>
      <c r="Y54" s="16">
        <f t="shared" si="5"/>
        <v>53</v>
      </c>
      <c r="Z54" s="17" t="str">
        <f t="shared" si="6"/>
        <v/>
      </c>
    </row>
    <row r="55" ht="25.5" customHeight="1">
      <c r="D55" s="18" t="str">
        <f t="shared" si="1"/>
        <v/>
      </c>
      <c r="E55" s="19"/>
      <c r="F55" s="19"/>
      <c r="G55" s="20"/>
      <c r="H55" s="20"/>
      <c r="I55" s="20"/>
      <c r="J55" s="20"/>
      <c r="K55" s="21"/>
      <c r="L55" s="21"/>
      <c r="M55" s="22"/>
      <c r="N55" s="23" t="str">
        <f t="shared" si="2"/>
        <v>—</v>
      </c>
      <c r="O55" s="24" t="str">
        <f t="shared" si="3"/>
        <v>—</v>
      </c>
      <c r="Y55" s="16">
        <f t="shared" si="5"/>
        <v>54</v>
      </c>
      <c r="Z55" s="17" t="str">
        <f t="shared" si="6"/>
        <v/>
      </c>
    </row>
    <row r="56" ht="25.5" customHeight="1">
      <c r="D56" s="9" t="str">
        <f t="shared" si="1"/>
        <v/>
      </c>
      <c r="E56" s="10"/>
      <c r="F56" s="10"/>
      <c r="G56" s="11"/>
      <c r="H56" s="11"/>
      <c r="I56" s="11"/>
      <c r="J56" s="11"/>
      <c r="K56" s="12"/>
      <c r="L56" s="12"/>
      <c r="M56" s="13"/>
      <c r="N56" s="14" t="str">
        <f t="shared" si="2"/>
        <v>—</v>
      </c>
      <c r="O56" s="15" t="str">
        <f t="shared" si="3"/>
        <v>—</v>
      </c>
      <c r="Y56" s="16">
        <f t="shared" si="5"/>
        <v>55</v>
      </c>
      <c r="Z56" s="17" t="str">
        <f t="shared" si="6"/>
        <v/>
      </c>
    </row>
    <row r="57" ht="25.5" customHeight="1">
      <c r="D57" s="18" t="str">
        <f t="shared" si="1"/>
        <v/>
      </c>
      <c r="E57" s="19"/>
      <c r="F57" s="19"/>
      <c r="G57" s="20"/>
      <c r="H57" s="20"/>
      <c r="I57" s="20"/>
      <c r="J57" s="20"/>
      <c r="K57" s="21"/>
      <c r="L57" s="21"/>
      <c r="M57" s="22"/>
      <c r="N57" s="23" t="str">
        <f t="shared" si="2"/>
        <v>—</v>
      </c>
      <c r="O57" s="24" t="str">
        <f t="shared" si="3"/>
        <v>—</v>
      </c>
      <c r="Y57" s="16">
        <f t="shared" si="5"/>
        <v>56</v>
      </c>
      <c r="Z57" s="17" t="str">
        <f t="shared" si="6"/>
        <v/>
      </c>
    </row>
    <row r="58" ht="25.5" customHeight="1">
      <c r="D58" s="9" t="str">
        <f t="shared" si="1"/>
        <v/>
      </c>
      <c r="E58" s="10"/>
      <c r="F58" s="10"/>
      <c r="G58" s="11"/>
      <c r="H58" s="11"/>
      <c r="I58" s="11"/>
      <c r="J58" s="11"/>
      <c r="K58" s="12"/>
      <c r="L58" s="12"/>
      <c r="M58" s="13"/>
      <c r="N58" s="14" t="str">
        <f t="shared" si="2"/>
        <v>—</v>
      </c>
      <c r="O58" s="15" t="str">
        <f t="shared" si="3"/>
        <v>—</v>
      </c>
      <c r="Y58" s="16">
        <f t="shared" si="5"/>
        <v>57</v>
      </c>
      <c r="Z58" s="17" t="str">
        <f t="shared" si="6"/>
        <v/>
      </c>
    </row>
    <row r="59" ht="25.5" customHeight="1">
      <c r="D59" s="18" t="str">
        <f t="shared" si="1"/>
        <v/>
      </c>
      <c r="E59" s="19"/>
      <c r="F59" s="19"/>
      <c r="G59" s="20"/>
      <c r="H59" s="20"/>
      <c r="I59" s="20"/>
      <c r="J59" s="20"/>
      <c r="K59" s="21"/>
      <c r="L59" s="21"/>
      <c r="M59" s="22"/>
      <c r="N59" s="23" t="str">
        <f t="shared" si="2"/>
        <v>—</v>
      </c>
      <c r="O59" s="24" t="str">
        <f t="shared" si="3"/>
        <v>—</v>
      </c>
      <c r="Y59" s="16">
        <f t="shared" si="5"/>
        <v>58</v>
      </c>
      <c r="Z59" s="17" t="str">
        <f t="shared" si="6"/>
        <v/>
      </c>
    </row>
    <row r="60" ht="25.5" customHeight="1">
      <c r="D60" s="9" t="str">
        <f t="shared" si="1"/>
        <v/>
      </c>
      <c r="E60" s="10"/>
      <c r="F60" s="10"/>
      <c r="G60" s="11"/>
      <c r="H60" s="11"/>
      <c r="I60" s="11"/>
      <c r="J60" s="11"/>
      <c r="K60" s="12"/>
      <c r="L60" s="12"/>
      <c r="M60" s="13"/>
      <c r="N60" s="14" t="str">
        <f t="shared" si="2"/>
        <v>—</v>
      </c>
      <c r="O60" s="15" t="str">
        <f t="shared" si="3"/>
        <v>—</v>
      </c>
      <c r="Y60" s="16">
        <f t="shared" si="5"/>
        <v>59</v>
      </c>
      <c r="Z60" s="17" t="str">
        <f t="shared" si="6"/>
        <v/>
      </c>
    </row>
    <row r="61" ht="25.5" customHeight="1">
      <c r="D61" s="18" t="str">
        <f t="shared" si="1"/>
        <v/>
      </c>
      <c r="E61" s="19"/>
      <c r="F61" s="19"/>
      <c r="G61" s="20"/>
      <c r="H61" s="20"/>
      <c r="I61" s="20"/>
      <c r="J61" s="20"/>
      <c r="K61" s="21"/>
      <c r="L61" s="21"/>
      <c r="M61" s="22"/>
      <c r="N61" s="23" t="str">
        <f t="shared" si="2"/>
        <v>—</v>
      </c>
      <c r="O61" s="24" t="str">
        <f t="shared" si="3"/>
        <v>—</v>
      </c>
      <c r="Y61" s="16">
        <f t="shared" si="5"/>
        <v>60</v>
      </c>
      <c r="Z61" s="17" t="str">
        <f t="shared" si="6"/>
        <v/>
      </c>
    </row>
    <row r="62" ht="25.5" customHeight="1">
      <c r="D62" s="9" t="str">
        <f t="shared" si="1"/>
        <v/>
      </c>
      <c r="E62" s="10"/>
      <c r="F62" s="10"/>
      <c r="G62" s="11"/>
      <c r="H62" s="11"/>
      <c r="I62" s="11"/>
      <c r="J62" s="11"/>
      <c r="K62" s="12"/>
      <c r="L62" s="12"/>
      <c r="M62" s="13"/>
      <c r="N62" s="14" t="str">
        <f t="shared" si="2"/>
        <v>—</v>
      </c>
      <c r="O62" s="15" t="str">
        <f t="shared" si="3"/>
        <v>—</v>
      </c>
      <c r="Y62" s="16">
        <f t="shared" si="5"/>
        <v>61</v>
      </c>
      <c r="Z62" s="17" t="str">
        <f t="shared" si="6"/>
        <v/>
      </c>
    </row>
    <row r="63" ht="25.5" customHeight="1">
      <c r="D63" s="18" t="str">
        <f t="shared" si="1"/>
        <v/>
      </c>
      <c r="E63" s="19"/>
      <c r="F63" s="19"/>
      <c r="G63" s="20"/>
      <c r="H63" s="20"/>
      <c r="I63" s="20"/>
      <c r="J63" s="20"/>
      <c r="K63" s="21"/>
      <c r="L63" s="21"/>
      <c r="M63" s="22"/>
      <c r="N63" s="23" t="str">
        <f t="shared" si="2"/>
        <v>—</v>
      </c>
      <c r="O63" s="24" t="str">
        <f t="shared" si="3"/>
        <v>—</v>
      </c>
      <c r="Y63" s="16">
        <f t="shared" si="5"/>
        <v>62</v>
      </c>
      <c r="Z63" s="17" t="str">
        <f t="shared" si="6"/>
        <v/>
      </c>
    </row>
    <row r="64" ht="25.5" customHeight="1">
      <c r="D64" s="9" t="str">
        <f t="shared" si="1"/>
        <v/>
      </c>
      <c r="E64" s="10"/>
      <c r="F64" s="10"/>
      <c r="G64" s="11"/>
      <c r="H64" s="11"/>
      <c r="I64" s="11"/>
      <c r="J64" s="11"/>
      <c r="K64" s="12"/>
      <c r="L64" s="12"/>
      <c r="M64" s="13"/>
      <c r="N64" s="14" t="str">
        <f t="shared" si="2"/>
        <v>—</v>
      </c>
      <c r="O64" s="15" t="str">
        <f t="shared" si="3"/>
        <v>—</v>
      </c>
      <c r="Y64" s="16">
        <f t="shared" si="5"/>
        <v>63</v>
      </c>
      <c r="Z64" s="17" t="str">
        <f t="shared" si="6"/>
        <v/>
      </c>
    </row>
    <row r="65" ht="25.5" customHeight="1">
      <c r="D65" s="18" t="str">
        <f t="shared" si="1"/>
        <v/>
      </c>
      <c r="E65" s="19"/>
      <c r="F65" s="19"/>
      <c r="G65" s="20"/>
      <c r="H65" s="20"/>
      <c r="I65" s="20"/>
      <c r="J65" s="20"/>
      <c r="K65" s="21"/>
      <c r="L65" s="21"/>
      <c r="M65" s="22"/>
      <c r="N65" s="23" t="str">
        <f t="shared" si="2"/>
        <v>—</v>
      </c>
      <c r="O65" s="24" t="str">
        <f t="shared" si="3"/>
        <v>—</v>
      </c>
      <c r="Y65" s="16">
        <f t="shared" si="5"/>
        <v>64</v>
      </c>
      <c r="Z65" s="17" t="str">
        <f t="shared" si="6"/>
        <v/>
      </c>
    </row>
    <row r="66" ht="25.5" customHeight="1">
      <c r="D66" s="9" t="str">
        <f t="shared" si="1"/>
        <v/>
      </c>
      <c r="E66" s="10"/>
      <c r="F66" s="10"/>
      <c r="G66" s="11"/>
      <c r="H66" s="11"/>
      <c r="I66" s="11"/>
      <c r="J66" s="11"/>
      <c r="K66" s="12"/>
      <c r="L66" s="12"/>
      <c r="M66" s="13"/>
      <c r="N66" s="14" t="str">
        <f t="shared" si="2"/>
        <v>—</v>
      </c>
      <c r="O66" s="15" t="str">
        <f t="shared" si="3"/>
        <v>—</v>
      </c>
      <c r="Y66" s="16">
        <f t="shared" si="5"/>
        <v>65</v>
      </c>
      <c r="Z66" s="17" t="str">
        <f t="shared" si="6"/>
        <v/>
      </c>
    </row>
    <row r="67" ht="25.5" customHeight="1">
      <c r="D67" s="18" t="str">
        <f t="shared" si="1"/>
        <v/>
      </c>
      <c r="E67" s="19"/>
      <c r="F67" s="19"/>
      <c r="G67" s="20"/>
      <c r="H67" s="20"/>
      <c r="I67" s="20"/>
      <c r="J67" s="20"/>
      <c r="K67" s="21"/>
      <c r="L67" s="21"/>
      <c r="M67" s="22"/>
      <c r="N67" s="23" t="str">
        <f t="shared" si="2"/>
        <v>—</v>
      </c>
      <c r="O67" s="24" t="str">
        <f t="shared" si="3"/>
        <v>—</v>
      </c>
      <c r="Y67" s="16">
        <f t="shared" si="5"/>
        <v>66</v>
      </c>
      <c r="Z67" s="17" t="str">
        <f t="shared" si="6"/>
        <v/>
      </c>
    </row>
    <row r="68" ht="25.5" customHeight="1">
      <c r="D68" s="9" t="str">
        <f t="shared" si="1"/>
        <v/>
      </c>
      <c r="E68" s="10"/>
      <c r="F68" s="10"/>
      <c r="G68" s="11"/>
      <c r="H68" s="11"/>
      <c r="I68" s="11"/>
      <c r="J68" s="11"/>
      <c r="K68" s="12"/>
      <c r="L68" s="12"/>
      <c r="M68" s="13"/>
      <c r="N68" s="14" t="str">
        <f t="shared" si="2"/>
        <v>—</v>
      </c>
      <c r="O68" s="15" t="str">
        <f t="shared" si="3"/>
        <v>—</v>
      </c>
      <c r="Y68" s="16">
        <f t="shared" si="5"/>
        <v>67</v>
      </c>
      <c r="Z68" s="17" t="str">
        <f t="shared" si="6"/>
        <v/>
      </c>
    </row>
    <row r="69" ht="25.5" customHeight="1">
      <c r="D69" s="18" t="str">
        <f t="shared" si="1"/>
        <v/>
      </c>
      <c r="E69" s="19"/>
      <c r="F69" s="19"/>
      <c r="G69" s="20"/>
      <c r="H69" s="20"/>
      <c r="I69" s="20"/>
      <c r="J69" s="20"/>
      <c r="K69" s="21"/>
      <c r="L69" s="21"/>
      <c r="M69" s="22"/>
      <c r="N69" s="23" t="str">
        <f t="shared" si="2"/>
        <v>—</v>
      </c>
      <c r="O69" s="24" t="str">
        <f t="shared" si="3"/>
        <v>—</v>
      </c>
      <c r="Y69" s="16">
        <f t="shared" si="5"/>
        <v>68</v>
      </c>
      <c r="Z69" s="17" t="str">
        <f t="shared" si="6"/>
        <v/>
      </c>
    </row>
    <row r="70" ht="25.5" customHeight="1">
      <c r="D70" s="9" t="str">
        <f t="shared" si="1"/>
        <v/>
      </c>
      <c r="E70" s="10"/>
      <c r="F70" s="10"/>
      <c r="G70" s="11"/>
      <c r="H70" s="11"/>
      <c r="I70" s="11"/>
      <c r="J70" s="11"/>
      <c r="K70" s="12"/>
      <c r="L70" s="12"/>
      <c r="M70" s="13"/>
      <c r="N70" s="14" t="str">
        <f t="shared" si="2"/>
        <v>—</v>
      </c>
      <c r="O70" s="15" t="str">
        <f t="shared" si="3"/>
        <v>—</v>
      </c>
      <c r="Y70" s="16">
        <f t="shared" si="5"/>
        <v>69</v>
      </c>
      <c r="Z70" s="17" t="str">
        <f t="shared" si="6"/>
        <v/>
      </c>
    </row>
    <row r="71" ht="25.5" customHeight="1">
      <c r="D71" s="18" t="str">
        <f t="shared" si="1"/>
        <v/>
      </c>
      <c r="E71" s="19"/>
      <c r="F71" s="19"/>
      <c r="G71" s="20"/>
      <c r="H71" s="20"/>
      <c r="I71" s="20"/>
      <c r="J71" s="20"/>
      <c r="K71" s="21"/>
      <c r="L71" s="21"/>
      <c r="M71" s="22"/>
      <c r="N71" s="23" t="str">
        <f t="shared" si="2"/>
        <v>—</v>
      </c>
      <c r="O71" s="24" t="str">
        <f t="shared" si="3"/>
        <v>—</v>
      </c>
      <c r="Y71" s="16">
        <f t="shared" si="5"/>
        <v>70</v>
      </c>
      <c r="Z71" s="17" t="str">
        <f t="shared" si="6"/>
        <v/>
      </c>
    </row>
    <row r="72" ht="25.5" customHeight="1">
      <c r="D72" s="9" t="str">
        <f t="shared" si="1"/>
        <v/>
      </c>
      <c r="E72" s="10"/>
      <c r="F72" s="10"/>
      <c r="G72" s="11"/>
      <c r="H72" s="11"/>
      <c r="I72" s="11"/>
      <c r="J72" s="11"/>
      <c r="K72" s="12"/>
      <c r="L72" s="12"/>
      <c r="M72" s="13"/>
      <c r="N72" s="14" t="str">
        <f t="shared" si="2"/>
        <v>—</v>
      </c>
      <c r="O72" s="15" t="str">
        <f t="shared" si="3"/>
        <v>—</v>
      </c>
      <c r="Y72" s="16">
        <f t="shared" si="5"/>
        <v>71</v>
      </c>
      <c r="Z72" s="17" t="str">
        <f t="shared" si="6"/>
        <v/>
      </c>
    </row>
    <row r="73" ht="25.5" customHeight="1">
      <c r="D73" s="18" t="str">
        <f t="shared" si="1"/>
        <v/>
      </c>
      <c r="E73" s="19"/>
      <c r="F73" s="19"/>
      <c r="G73" s="20"/>
      <c r="H73" s="20"/>
      <c r="I73" s="20"/>
      <c r="J73" s="20"/>
      <c r="K73" s="21"/>
      <c r="L73" s="21"/>
      <c r="M73" s="22"/>
      <c r="N73" s="23" t="str">
        <f t="shared" si="2"/>
        <v>—</v>
      </c>
      <c r="O73" s="24" t="str">
        <f t="shared" si="3"/>
        <v>—</v>
      </c>
      <c r="Y73" s="16">
        <f t="shared" si="5"/>
        <v>72</v>
      </c>
      <c r="Z73" s="17" t="str">
        <f t="shared" si="6"/>
        <v/>
      </c>
    </row>
    <row r="74" ht="25.5" customHeight="1">
      <c r="D74" s="9" t="str">
        <f t="shared" si="1"/>
        <v/>
      </c>
      <c r="E74" s="10"/>
      <c r="F74" s="10"/>
      <c r="G74" s="11"/>
      <c r="H74" s="11"/>
      <c r="I74" s="11"/>
      <c r="J74" s="11"/>
      <c r="K74" s="12"/>
      <c r="L74" s="12"/>
      <c r="M74" s="13"/>
      <c r="N74" s="14" t="str">
        <f t="shared" si="2"/>
        <v>—</v>
      </c>
      <c r="O74" s="15" t="str">
        <f t="shared" si="3"/>
        <v>—</v>
      </c>
      <c r="Y74" s="16">
        <f t="shared" si="5"/>
        <v>73</v>
      </c>
      <c r="Z74" s="17" t="str">
        <f t="shared" si="6"/>
        <v/>
      </c>
    </row>
    <row r="75" ht="25.5" customHeight="1">
      <c r="D75" s="18" t="str">
        <f t="shared" si="1"/>
        <v/>
      </c>
      <c r="E75" s="19"/>
      <c r="F75" s="19"/>
      <c r="G75" s="20"/>
      <c r="H75" s="20"/>
      <c r="I75" s="20"/>
      <c r="J75" s="20"/>
      <c r="K75" s="21"/>
      <c r="L75" s="21"/>
      <c r="M75" s="22"/>
      <c r="N75" s="23" t="str">
        <f t="shared" si="2"/>
        <v>—</v>
      </c>
      <c r="O75" s="24" t="str">
        <f t="shared" si="3"/>
        <v>—</v>
      </c>
      <c r="Y75" s="16">
        <f t="shared" si="5"/>
        <v>74</v>
      </c>
      <c r="Z75" s="17" t="str">
        <f t="shared" si="6"/>
        <v/>
      </c>
    </row>
    <row r="76" ht="25.5" customHeight="1">
      <c r="D76" s="9" t="str">
        <f t="shared" si="1"/>
        <v/>
      </c>
      <c r="E76" s="10"/>
      <c r="F76" s="10"/>
      <c r="G76" s="11"/>
      <c r="H76" s="11"/>
      <c r="I76" s="11"/>
      <c r="J76" s="11"/>
      <c r="K76" s="12"/>
      <c r="L76" s="12"/>
      <c r="M76" s="13"/>
      <c r="N76" s="14" t="str">
        <f t="shared" si="2"/>
        <v>—</v>
      </c>
      <c r="O76" s="15" t="str">
        <f t="shared" si="3"/>
        <v>—</v>
      </c>
      <c r="Y76" s="16">
        <f t="shared" si="5"/>
        <v>75</v>
      </c>
      <c r="Z76" s="17" t="str">
        <f t="shared" si="6"/>
        <v/>
      </c>
    </row>
    <row r="77" ht="25.5" customHeight="1">
      <c r="D77" s="18" t="str">
        <f t="shared" si="1"/>
        <v/>
      </c>
      <c r="E77" s="19"/>
      <c r="F77" s="19"/>
      <c r="G77" s="20"/>
      <c r="H77" s="20"/>
      <c r="I77" s="20"/>
      <c r="J77" s="20"/>
      <c r="K77" s="21"/>
      <c r="L77" s="21"/>
      <c r="M77" s="22"/>
      <c r="N77" s="23" t="str">
        <f t="shared" si="2"/>
        <v>—</v>
      </c>
      <c r="O77" s="24" t="str">
        <f t="shared" si="3"/>
        <v>—</v>
      </c>
      <c r="Y77" s="16">
        <f t="shared" si="5"/>
        <v>76</v>
      </c>
      <c r="Z77" s="17" t="str">
        <f t="shared" si="6"/>
        <v/>
      </c>
    </row>
    <row r="78" ht="25.5" customHeight="1">
      <c r="D78" s="9" t="str">
        <f t="shared" si="1"/>
        <v/>
      </c>
      <c r="E78" s="10"/>
      <c r="F78" s="10"/>
      <c r="G78" s="11"/>
      <c r="H78" s="11"/>
      <c r="I78" s="11"/>
      <c r="J78" s="11"/>
      <c r="K78" s="12"/>
      <c r="L78" s="12"/>
      <c r="M78" s="13"/>
      <c r="N78" s="14" t="str">
        <f t="shared" si="2"/>
        <v>—</v>
      </c>
      <c r="O78" s="15" t="str">
        <f t="shared" si="3"/>
        <v>—</v>
      </c>
      <c r="Y78" s="16">
        <f t="shared" si="5"/>
        <v>77</v>
      </c>
      <c r="Z78" s="17" t="str">
        <f t="shared" si="6"/>
        <v/>
      </c>
    </row>
    <row r="79" ht="25.5" customHeight="1">
      <c r="D79" s="18" t="str">
        <f t="shared" si="1"/>
        <v/>
      </c>
      <c r="E79" s="19"/>
      <c r="F79" s="19"/>
      <c r="G79" s="20"/>
      <c r="H79" s="20"/>
      <c r="I79" s="20"/>
      <c r="J79" s="20"/>
      <c r="K79" s="21"/>
      <c r="L79" s="21"/>
      <c r="M79" s="22"/>
      <c r="N79" s="23" t="str">
        <f t="shared" si="2"/>
        <v>—</v>
      </c>
      <c r="O79" s="24" t="str">
        <f t="shared" si="3"/>
        <v>—</v>
      </c>
      <c r="Y79" s="16">
        <f t="shared" si="5"/>
        <v>78</v>
      </c>
      <c r="Z79" s="17" t="str">
        <f t="shared" si="6"/>
        <v/>
      </c>
    </row>
    <row r="80" ht="25.5" customHeight="1">
      <c r="D80" s="9" t="str">
        <f t="shared" si="1"/>
        <v/>
      </c>
      <c r="E80" s="10"/>
      <c r="F80" s="10"/>
      <c r="G80" s="11"/>
      <c r="H80" s="11"/>
      <c r="I80" s="11"/>
      <c r="J80" s="11"/>
      <c r="K80" s="12"/>
      <c r="L80" s="12"/>
      <c r="M80" s="13"/>
      <c r="N80" s="14" t="str">
        <f t="shared" si="2"/>
        <v>—</v>
      </c>
      <c r="O80" s="15" t="str">
        <f t="shared" si="3"/>
        <v>—</v>
      </c>
      <c r="Y80" s="16">
        <f t="shared" si="5"/>
        <v>79</v>
      </c>
      <c r="Z80" s="17" t="str">
        <f t="shared" si="6"/>
        <v/>
      </c>
    </row>
    <row r="81" ht="25.5" customHeight="1">
      <c r="D81" s="18" t="str">
        <f t="shared" si="1"/>
        <v/>
      </c>
      <c r="E81" s="19"/>
      <c r="F81" s="19"/>
      <c r="G81" s="20"/>
      <c r="H81" s="20"/>
      <c r="I81" s="20"/>
      <c r="J81" s="20"/>
      <c r="K81" s="21"/>
      <c r="L81" s="21"/>
      <c r="M81" s="22"/>
      <c r="N81" s="23" t="str">
        <f t="shared" si="2"/>
        <v>—</v>
      </c>
      <c r="O81" s="24" t="str">
        <f t="shared" si="3"/>
        <v>—</v>
      </c>
      <c r="Y81" s="16">
        <f t="shared" si="5"/>
        <v>80</v>
      </c>
      <c r="Z81" s="17" t="str">
        <f t="shared" si="6"/>
        <v/>
      </c>
    </row>
    <row r="82" ht="25.5" customHeight="1">
      <c r="D82" s="9" t="str">
        <f t="shared" si="1"/>
        <v/>
      </c>
      <c r="E82" s="10"/>
      <c r="F82" s="10"/>
      <c r="G82" s="11"/>
      <c r="H82" s="11"/>
      <c r="I82" s="11"/>
      <c r="J82" s="11"/>
      <c r="K82" s="12"/>
      <c r="L82" s="12"/>
      <c r="M82" s="13"/>
      <c r="N82" s="14" t="str">
        <f t="shared" si="2"/>
        <v>—</v>
      </c>
      <c r="O82" s="15" t="str">
        <f t="shared" si="3"/>
        <v>—</v>
      </c>
      <c r="Y82" s="16">
        <f t="shared" si="5"/>
        <v>81</v>
      </c>
      <c r="Z82" s="17" t="str">
        <f t="shared" si="6"/>
        <v/>
      </c>
    </row>
    <row r="83" ht="25.5" customHeight="1">
      <c r="D83" s="18" t="str">
        <f t="shared" si="1"/>
        <v/>
      </c>
      <c r="E83" s="19"/>
      <c r="F83" s="19"/>
      <c r="G83" s="20"/>
      <c r="H83" s="20"/>
      <c r="I83" s="20"/>
      <c r="J83" s="20"/>
      <c r="K83" s="21"/>
      <c r="L83" s="21"/>
      <c r="M83" s="22"/>
      <c r="N83" s="23" t="str">
        <f t="shared" si="2"/>
        <v>—</v>
      </c>
      <c r="O83" s="24" t="str">
        <f t="shared" si="3"/>
        <v>—</v>
      </c>
      <c r="Y83" s="16">
        <f t="shared" si="5"/>
        <v>82</v>
      </c>
      <c r="Z83" s="17" t="str">
        <f t="shared" si="6"/>
        <v/>
      </c>
    </row>
    <row r="84" ht="25.5" customHeight="1">
      <c r="D84" s="9" t="str">
        <f t="shared" si="1"/>
        <v/>
      </c>
      <c r="E84" s="10"/>
      <c r="F84" s="10"/>
      <c r="G84" s="11"/>
      <c r="H84" s="11"/>
      <c r="I84" s="11"/>
      <c r="J84" s="11"/>
      <c r="K84" s="12"/>
      <c r="L84" s="12"/>
      <c r="M84" s="13"/>
      <c r="N84" s="14" t="str">
        <f t="shared" si="2"/>
        <v>—</v>
      </c>
      <c r="O84" s="15" t="str">
        <f t="shared" si="3"/>
        <v>—</v>
      </c>
      <c r="Y84" s="16">
        <f t="shared" si="5"/>
        <v>83</v>
      </c>
      <c r="Z84" s="17" t="str">
        <f t="shared" si="6"/>
        <v/>
      </c>
    </row>
    <row r="85" ht="25.5" customHeight="1">
      <c r="D85" s="18" t="str">
        <f t="shared" si="1"/>
        <v/>
      </c>
      <c r="E85" s="19"/>
      <c r="F85" s="19"/>
      <c r="G85" s="20"/>
      <c r="H85" s="20"/>
      <c r="I85" s="20"/>
      <c r="J85" s="20"/>
      <c r="K85" s="21"/>
      <c r="L85" s="21"/>
      <c r="M85" s="22"/>
      <c r="N85" s="23" t="str">
        <f t="shared" si="2"/>
        <v>—</v>
      </c>
      <c r="O85" s="24" t="str">
        <f t="shared" si="3"/>
        <v>—</v>
      </c>
      <c r="Y85" s="16">
        <f t="shared" si="5"/>
        <v>84</v>
      </c>
      <c r="Z85" s="17" t="str">
        <f t="shared" si="6"/>
        <v/>
      </c>
    </row>
    <row r="86" ht="25.5" customHeight="1">
      <c r="D86" s="9" t="str">
        <f t="shared" si="1"/>
        <v/>
      </c>
      <c r="E86" s="10"/>
      <c r="F86" s="10"/>
      <c r="G86" s="11"/>
      <c r="H86" s="11"/>
      <c r="I86" s="11"/>
      <c r="J86" s="11"/>
      <c r="K86" s="12"/>
      <c r="L86" s="12"/>
      <c r="M86" s="13"/>
      <c r="N86" s="14" t="str">
        <f t="shared" si="2"/>
        <v>—</v>
      </c>
      <c r="O86" s="15" t="str">
        <f t="shared" si="3"/>
        <v>—</v>
      </c>
      <c r="Y86" s="16">
        <f t="shared" si="5"/>
        <v>85</v>
      </c>
      <c r="Z86" s="17" t="str">
        <f t="shared" si="6"/>
        <v/>
      </c>
    </row>
    <row r="87" ht="25.5" customHeight="1">
      <c r="D87" s="18" t="str">
        <f t="shared" si="1"/>
        <v/>
      </c>
      <c r="E87" s="19"/>
      <c r="F87" s="19"/>
      <c r="G87" s="20"/>
      <c r="H87" s="20"/>
      <c r="I87" s="20"/>
      <c r="J87" s="20"/>
      <c r="K87" s="21"/>
      <c r="L87" s="21"/>
      <c r="M87" s="22"/>
      <c r="N87" s="23" t="str">
        <f t="shared" si="2"/>
        <v>—</v>
      </c>
      <c r="O87" s="24" t="str">
        <f t="shared" si="3"/>
        <v>—</v>
      </c>
      <c r="Y87" s="16">
        <f t="shared" si="5"/>
        <v>86</v>
      </c>
      <c r="Z87" s="17" t="str">
        <f t="shared" si="6"/>
        <v/>
      </c>
    </row>
    <row r="88" ht="25.5" customHeight="1">
      <c r="D88" s="9" t="str">
        <f t="shared" si="1"/>
        <v/>
      </c>
      <c r="E88" s="10"/>
      <c r="F88" s="10"/>
      <c r="G88" s="11"/>
      <c r="H88" s="11"/>
      <c r="I88" s="11"/>
      <c r="J88" s="11"/>
      <c r="K88" s="12"/>
      <c r="L88" s="12"/>
      <c r="M88" s="13"/>
      <c r="N88" s="14" t="str">
        <f t="shared" si="2"/>
        <v>—</v>
      </c>
      <c r="O88" s="15" t="str">
        <f t="shared" si="3"/>
        <v>—</v>
      </c>
      <c r="Y88" s="16">
        <f t="shared" si="5"/>
        <v>87</v>
      </c>
      <c r="Z88" s="17" t="str">
        <f t="shared" si="6"/>
        <v/>
      </c>
    </row>
    <row r="89" ht="25.5" customHeight="1">
      <c r="D89" s="18" t="str">
        <f t="shared" si="1"/>
        <v/>
      </c>
      <c r="E89" s="19"/>
      <c r="F89" s="19"/>
      <c r="G89" s="20"/>
      <c r="H89" s="20"/>
      <c r="I89" s="20"/>
      <c r="J89" s="20"/>
      <c r="K89" s="21"/>
      <c r="L89" s="21"/>
      <c r="M89" s="22"/>
      <c r="N89" s="23" t="str">
        <f t="shared" si="2"/>
        <v>—</v>
      </c>
      <c r="O89" s="24" t="str">
        <f t="shared" si="3"/>
        <v>—</v>
      </c>
      <c r="Y89" s="16">
        <f t="shared" si="5"/>
        <v>88</v>
      </c>
      <c r="Z89" s="17" t="str">
        <f t="shared" si="6"/>
        <v/>
      </c>
    </row>
    <row r="90" ht="25.5" customHeight="1">
      <c r="D90" s="9" t="str">
        <f t="shared" si="1"/>
        <v/>
      </c>
      <c r="E90" s="10"/>
      <c r="F90" s="10"/>
      <c r="G90" s="11"/>
      <c r="H90" s="11"/>
      <c r="I90" s="11"/>
      <c r="J90" s="11"/>
      <c r="K90" s="12"/>
      <c r="L90" s="12"/>
      <c r="M90" s="13"/>
      <c r="N90" s="14" t="str">
        <f t="shared" si="2"/>
        <v>—</v>
      </c>
      <c r="O90" s="15" t="str">
        <f t="shared" si="3"/>
        <v>—</v>
      </c>
      <c r="Y90" s="16">
        <f t="shared" si="5"/>
        <v>89</v>
      </c>
      <c r="Z90" s="17" t="str">
        <f t="shared" si="6"/>
        <v/>
      </c>
    </row>
    <row r="91" ht="25.5" customHeight="1">
      <c r="D91" s="18" t="str">
        <f t="shared" si="1"/>
        <v/>
      </c>
      <c r="E91" s="19"/>
      <c r="F91" s="19"/>
      <c r="G91" s="20"/>
      <c r="H91" s="20"/>
      <c r="I91" s="20"/>
      <c r="J91" s="20"/>
      <c r="K91" s="21"/>
      <c r="L91" s="21"/>
      <c r="M91" s="22"/>
      <c r="N91" s="23" t="str">
        <f t="shared" si="2"/>
        <v>—</v>
      </c>
      <c r="O91" s="24" t="str">
        <f t="shared" si="3"/>
        <v>—</v>
      </c>
      <c r="Y91" s="16">
        <f t="shared" si="5"/>
        <v>90</v>
      </c>
      <c r="Z91" s="17" t="str">
        <f t="shared" si="6"/>
        <v/>
      </c>
    </row>
    <row r="92" ht="25.5" customHeight="1">
      <c r="D92" s="9" t="str">
        <f t="shared" si="1"/>
        <v/>
      </c>
      <c r="E92" s="10"/>
      <c r="F92" s="10"/>
      <c r="G92" s="11"/>
      <c r="H92" s="11"/>
      <c r="I92" s="11"/>
      <c r="J92" s="11"/>
      <c r="K92" s="12"/>
      <c r="L92" s="12"/>
      <c r="M92" s="13"/>
      <c r="N92" s="14" t="str">
        <f t="shared" si="2"/>
        <v>—</v>
      </c>
      <c r="O92" s="15" t="str">
        <f t="shared" si="3"/>
        <v>—</v>
      </c>
      <c r="Y92" s="16">
        <f t="shared" si="5"/>
        <v>91</v>
      </c>
      <c r="Z92" s="17" t="str">
        <f t="shared" si="6"/>
        <v/>
      </c>
    </row>
    <row r="93" ht="25.5" customHeight="1">
      <c r="D93" s="18" t="str">
        <f t="shared" si="1"/>
        <v/>
      </c>
      <c r="E93" s="19"/>
      <c r="F93" s="19"/>
      <c r="G93" s="20"/>
      <c r="H93" s="20"/>
      <c r="I93" s="20"/>
      <c r="J93" s="20"/>
      <c r="K93" s="21"/>
      <c r="L93" s="21"/>
      <c r="M93" s="22"/>
      <c r="N93" s="23" t="str">
        <f t="shared" si="2"/>
        <v>—</v>
      </c>
      <c r="O93" s="24" t="str">
        <f t="shared" si="3"/>
        <v>—</v>
      </c>
      <c r="Y93" s="16">
        <f t="shared" si="5"/>
        <v>92</v>
      </c>
      <c r="Z93" s="17" t="str">
        <f t="shared" si="6"/>
        <v/>
      </c>
    </row>
    <row r="94" ht="25.5" customHeight="1">
      <c r="D94" s="9" t="str">
        <f t="shared" si="1"/>
        <v/>
      </c>
      <c r="E94" s="10"/>
      <c r="F94" s="10"/>
      <c r="G94" s="11"/>
      <c r="H94" s="11"/>
      <c r="I94" s="11"/>
      <c r="J94" s="11"/>
      <c r="K94" s="12"/>
      <c r="L94" s="12"/>
      <c r="M94" s="13"/>
      <c r="N94" s="14" t="str">
        <f t="shared" si="2"/>
        <v>—</v>
      </c>
      <c r="O94" s="15" t="str">
        <f t="shared" si="3"/>
        <v>—</v>
      </c>
      <c r="Y94" s="16">
        <f t="shared" si="5"/>
        <v>93</v>
      </c>
      <c r="Z94" s="17" t="str">
        <f t="shared" si="6"/>
        <v/>
      </c>
    </row>
    <row r="95" ht="25.5" customHeight="1">
      <c r="D95" s="18" t="str">
        <f t="shared" si="1"/>
        <v/>
      </c>
      <c r="E95" s="19"/>
      <c r="F95" s="19"/>
      <c r="G95" s="20"/>
      <c r="H95" s="20"/>
      <c r="I95" s="20"/>
      <c r="J95" s="20"/>
      <c r="K95" s="21"/>
      <c r="L95" s="21"/>
      <c r="M95" s="22"/>
      <c r="N95" s="23" t="str">
        <f t="shared" si="2"/>
        <v>—</v>
      </c>
      <c r="O95" s="24" t="str">
        <f t="shared" si="3"/>
        <v>—</v>
      </c>
      <c r="Y95" s="16">
        <f t="shared" si="5"/>
        <v>94</v>
      </c>
      <c r="Z95" s="17" t="str">
        <f t="shared" si="6"/>
        <v/>
      </c>
    </row>
    <row r="96" ht="25.5" customHeight="1">
      <c r="D96" s="9" t="str">
        <f t="shared" si="1"/>
        <v/>
      </c>
      <c r="E96" s="10"/>
      <c r="F96" s="10"/>
      <c r="G96" s="11"/>
      <c r="H96" s="11"/>
      <c r="I96" s="11"/>
      <c r="J96" s="11"/>
      <c r="K96" s="12"/>
      <c r="L96" s="12"/>
      <c r="M96" s="13"/>
      <c r="N96" s="14" t="str">
        <f t="shared" si="2"/>
        <v>—</v>
      </c>
      <c r="O96" s="15" t="str">
        <f t="shared" si="3"/>
        <v>—</v>
      </c>
      <c r="Y96" s="16">
        <f t="shared" si="5"/>
        <v>95</v>
      </c>
      <c r="Z96" s="17" t="str">
        <f t="shared" si="6"/>
        <v/>
      </c>
    </row>
    <row r="97" ht="25.5" customHeight="1">
      <c r="D97" s="18" t="str">
        <f t="shared" si="1"/>
        <v/>
      </c>
      <c r="E97" s="19"/>
      <c r="F97" s="19"/>
      <c r="G97" s="20"/>
      <c r="H97" s="20"/>
      <c r="I97" s="20"/>
      <c r="J97" s="20"/>
      <c r="K97" s="21"/>
      <c r="L97" s="21"/>
      <c r="M97" s="22"/>
      <c r="N97" s="23" t="str">
        <f t="shared" si="2"/>
        <v>—</v>
      </c>
      <c r="O97" s="24" t="str">
        <f t="shared" si="3"/>
        <v>—</v>
      </c>
      <c r="Y97" s="16">
        <f t="shared" si="5"/>
        <v>96</v>
      </c>
      <c r="Z97" s="17" t="str">
        <f t="shared" si="6"/>
        <v/>
      </c>
    </row>
    <row r="98" ht="25.5" customHeight="1">
      <c r="D98" s="9" t="str">
        <f t="shared" si="1"/>
        <v/>
      </c>
      <c r="E98" s="10"/>
      <c r="F98" s="10"/>
      <c r="G98" s="11"/>
      <c r="H98" s="11"/>
      <c r="I98" s="11"/>
      <c r="J98" s="11"/>
      <c r="K98" s="12"/>
      <c r="L98" s="12"/>
      <c r="M98" s="13"/>
      <c r="N98" s="14" t="str">
        <f t="shared" si="2"/>
        <v>—</v>
      </c>
      <c r="O98" s="15" t="str">
        <f t="shared" si="3"/>
        <v>—</v>
      </c>
      <c r="Y98" s="16">
        <f t="shared" si="5"/>
        <v>97</v>
      </c>
      <c r="Z98" s="17" t="str">
        <f t="shared" si="6"/>
        <v/>
      </c>
    </row>
    <row r="99" ht="25.5" customHeight="1">
      <c r="D99" s="18" t="str">
        <f t="shared" si="1"/>
        <v/>
      </c>
      <c r="E99" s="19"/>
      <c r="F99" s="19"/>
      <c r="G99" s="20"/>
      <c r="H99" s="20"/>
      <c r="I99" s="20"/>
      <c r="J99" s="20"/>
      <c r="K99" s="21"/>
      <c r="L99" s="21"/>
      <c r="M99" s="22"/>
      <c r="N99" s="23" t="str">
        <f t="shared" si="2"/>
        <v>—</v>
      </c>
      <c r="O99" s="24" t="str">
        <f t="shared" si="3"/>
        <v>—</v>
      </c>
      <c r="Y99" s="16">
        <f t="shared" si="5"/>
        <v>98</v>
      </c>
      <c r="Z99" s="17" t="str">
        <f t="shared" si="6"/>
        <v/>
      </c>
    </row>
    <row r="100" ht="25.5" customHeight="1">
      <c r="D100" s="9" t="str">
        <f t="shared" si="1"/>
        <v/>
      </c>
      <c r="E100" s="10"/>
      <c r="F100" s="10"/>
      <c r="G100" s="11"/>
      <c r="H100" s="11"/>
      <c r="I100" s="11"/>
      <c r="J100" s="11"/>
      <c r="K100" s="12"/>
      <c r="L100" s="12"/>
      <c r="M100" s="13"/>
      <c r="N100" s="14" t="str">
        <f t="shared" si="2"/>
        <v>—</v>
      </c>
      <c r="O100" s="15" t="str">
        <f t="shared" si="3"/>
        <v>—</v>
      </c>
      <c r="Y100" s="16">
        <f t="shared" si="5"/>
        <v>99</v>
      </c>
      <c r="Z100" s="17" t="str">
        <f t="shared" si="6"/>
        <v/>
      </c>
    </row>
    <row r="101" ht="25.5" customHeight="1">
      <c r="D101" s="18" t="str">
        <f t="shared" si="1"/>
        <v/>
      </c>
      <c r="E101" s="19"/>
      <c r="F101" s="19"/>
      <c r="G101" s="20"/>
      <c r="H101" s="20"/>
      <c r="I101" s="20"/>
      <c r="J101" s="20"/>
      <c r="K101" s="21"/>
      <c r="L101" s="21"/>
      <c r="M101" s="22"/>
      <c r="N101" s="23" t="str">
        <f t="shared" si="2"/>
        <v>—</v>
      </c>
      <c r="O101" s="24" t="str">
        <f t="shared" si="3"/>
        <v>—</v>
      </c>
      <c r="Y101" s="16">
        <f t="shared" si="5"/>
        <v>100</v>
      </c>
      <c r="Z101" s="17" t="str">
        <f t="shared" si="6"/>
        <v/>
      </c>
    </row>
    <row r="102" ht="25.5" customHeight="1">
      <c r="D102" s="9" t="str">
        <f t="shared" si="1"/>
        <v/>
      </c>
      <c r="E102" s="10"/>
      <c r="F102" s="10"/>
      <c r="G102" s="11"/>
      <c r="H102" s="11"/>
      <c r="I102" s="11"/>
      <c r="J102" s="11"/>
      <c r="K102" s="12"/>
      <c r="L102" s="12"/>
      <c r="M102" s="13"/>
      <c r="N102" s="14" t="str">
        <f t="shared" si="2"/>
        <v>—</v>
      </c>
      <c r="O102" s="15" t="str">
        <f t="shared" si="3"/>
        <v>—</v>
      </c>
      <c r="Y102" s="16">
        <f t="shared" si="5"/>
        <v>101</v>
      </c>
      <c r="Z102" s="17" t="str">
        <f t="shared" si="6"/>
        <v/>
      </c>
    </row>
    <row r="103" ht="25.5" customHeight="1">
      <c r="D103" s="18" t="str">
        <f t="shared" si="1"/>
        <v/>
      </c>
      <c r="E103" s="19"/>
      <c r="F103" s="19"/>
      <c r="G103" s="20"/>
      <c r="H103" s="20"/>
      <c r="I103" s="20"/>
      <c r="J103" s="20"/>
      <c r="K103" s="21"/>
      <c r="L103" s="21"/>
      <c r="M103" s="22"/>
      <c r="N103" s="23" t="str">
        <f t="shared" si="2"/>
        <v>—</v>
      </c>
      <c r="O103" s="24" t="str">
        <f t="shared" si="3"/>
        <v>—</v>
      </c>
      <c r="Y103" s="16">
        <f t="shared" si="5"/>
        <v>102</v>
      </c>
      <c r="Z103" s="17" t="str">
        <f t="shared" si="6"/>
        <v/>
      </c>
    </row>
    <row r="104" ht="25.5" customHeight="1">
      <c r="D104" s="9" t="str">
        <f t="shared" si="1"/>
        <v/>
      </c>
      <c r="E104" s="10"/>
      <c r="F104" s="10"/>
      <c r="G104" s="11"/>
      <c r="H104" s="11"/>
      <c r="I104" s="11"/>
      <c r="J104" s="11"/>
      <c r="K104" s="12"/>
      <c r="L104" s="12"/>
      <c r="M104" s="13"/>
      <c r="N104" s="14" t="str">
        <f t="shared" si="2"/>
        <v>—</v>
      </c>
      <c r="O104" s="15" t="str">
        <f t="shared" si="3"/>
        <v>—</v>
      </c>
      <c r="Y104" s="16">
        <f t="shared" si="5"/>
        <v>103</v>
      </c>
      <c r="Z104" s="17" t="str">
        <f t="shared" si="6"/>
        <v/>
      </c>
    </row>
    <row r="105" ht="25.5" customHeight="1">
      <c r="D105" s="18" t="str">
        <f t="shared" si="1"/>
        <v/>
      </c>
      <c r="E105" s="19"/>
      <c r="F105" s="19"/>
      <c r="G105" s="20"/>
      <c r="H105" s="20"/>
      <c r="I105" s="20"/>
      <c r="J105" s="20"/>
      <c r="K105" s="21"/>
      <c r="L105" s="21"/>
      <c r="M105" s="22"/>
      <c r="N105" s="23" t="str">
        <f t="shared" si="2"/>
        <v>—</v>
      </c>
      <c r="O105" s="24" t="str">
        <f t="shared" si="3"/>
        <v>—</v>
      </c>
      <c r="Y105" s="16">
        <f t="shared" si="5"/>
        <v>104</v>
      </c>
      <c r="Z105" s="17" t="str">
        <f t="shared" si="6"/>
        <v/>
      </c>
    </row>
    <row r="106" ht="25.5" customHeight="1">
      <c r="D106" s="9" t="str">
        <f t="shared" si="1"/>
        <v/>
      </c>
      <c r="E106" s="10"/>
      <c r="F106" s="10"/>
      <c r="G106" s="11"/>
      <c r="H106" s="11"/>
      <c r="I106" s="11"/>
      <c r="J106" s="11"/>
      <c r="K106" s="12"/>
      <c r="L106" s="12"/>
      <c r="M106" s="13"/>
      <c r="N106" s="14" t="str">
        <f t="shared" si="2"/>
        <v>—</v>
      </c>
      <c r="O106" s="15" t="str">
        <f t="shared" si="3"/>
        <v>—</v>
      </c>
      <c r="Y106" s="16">
        <f t="shared" si="5"/>
        <v>105</v>
      </c>
      <c r="Z106" s="17" t="str">
        <f t="shared" si="6"/>
        <v/>
      </c>
    </row>
    <row r="107" ht="25.5" customHeight="1">
      <c r="D107" s="18" t="str">
        <f t="shared" si="1"/>
        <v/>
      </c>
      <c r="E107" s="19"/>
      <c r="F107" s="19"/>
      <c r="G107" s="20"/>
      <c r="H107" s="20"/>
      <c r="I107" s="20"/>
      <c r="J107" s="20"/>
      <c r="K107" s="21"/>
      <c r="L107" s="21"/>
      <c r="M107" s="22"/>
      <c r="N107" s="23" t="str">
        <f t="shared" si="2"/>
        <v>—</v>
      </c>
      <c r="O107" s="24" t="str">
        <f t="shared" si="3"/>
        <v>—</v>
      </c>
      <c r="Y107" s="16">
        <f t="shared" si="5"/>
        <v>106</v>
      </c>
      <c r="Z107" s="17" t="str">
        <f t="shared" si="6"/>
        <v/>
      </c>
    </row>
    <row r="108" ht="25.5" customHeight="1">
      <c r="D108" s="9" t="str">
        <f t="shared" si="1"/>
        <v/>
      </c>
      <c r="E108" s="10"/>
      <c r="F108" s="10"/>
      <c r="G108" s="11"/>
      <c r="H108" s="11"/>
      <c r="I108" s="11"/>
      <c r="J108" s="11"/>
      <c r="K108" s="12"/>
      <c r="L108" s="12"/>
      <c r="M108" s="13"/>
      <c r="N108" s="14" t="str">
        <f t="shared" si="2"/>
        <v>—</v>
      </c>
      <c r="O108" s="15" t="str">
        <f t="shared" si="3"/>
        <v>—</v>
      </c>
      <c r="Y108" s="16">
        <f t="shared" si="5"/>
        <v>107</v>
      </c>
      <c r="Z108" s="17" t="str">
        <f t="shared" si="6"/>
        <v/>
      </c>
    </row>
    <row r="109" ht="25.5" customHeight="1">
      <c r="D109" s="18" t="str">
        <f t="shared" si="1"/>
        <v/>
      </c>
      <c r="E109" s="19"/>
      <c r="F109" s="19"/>
      <c r="G109" s="20"/>
      <c r="H109" s="20"/>
      <c r="I109" s="20"/>
      <c r="J109" s="20"/>
      <c r="K109" s="21"/>
      <c r="L109" s="21"/>
      <c r="M109" s="22"/>
      <c r="N109" s="23" t="str">
        <f t="shared" si="2"/>
        <v>—</v>
      </c>
      <c r="O109" s="24" t="str">
        <f t="shared" si="3"/>
        <v>—</v>
      </c>
      <c r="Y109" s="16">
        <f t="shared" si="5"/>
        <v>108</v>
      </c>
      <c r="Z109" s="17" t="str">
        <f t="shared" si="6"/>
        <v/>
      </c>
    </row>
    <row r="110" ht="25.5" customHeight="1">
      <c r="D110" s="9" t="str">
        <f t="shared" si="1"/>
        <v/>
      </c>
      <c r="E110" s="10"/>
      <c r="F110" s="10"/>
      <c r="G110" s="11"/>
      <c r="H110" s="11"/>
      <c r="I110" s="11"/>
      <c r="J110" s="11"/>
      <c r="K110" s="12"/>
      <c r="L110" s="12"/>
      <c r="M110" s="13"/>
      <c r="N110" s="14" t="str">
        <f t="shared" si="2"/>
        <v>—</v>
      </c>
      <c r="O110" s="15" t="str">
        <f t="shared" si="3"/>
        <v>—</v>
      </c>
      <c r="Y110" s="16">
        <f t="shared" si="5"/>
        <v>109</v>
      </c>
      <c r="Z110" s="17" t="str">
        <f t="shared" si="6"/>
        <v/>
      </c>
    </row>
    <row r="111" ht="25.5" customHeight="1">
      <c r="D111" s="18" t="str">
        <f t="shared" si="1"/>
        <v/>
      </c>
      <c r="E111" s="19"/>
      <c r="F111" s="19"/>
      <c r="G111" s="20"/>
      <c r="H111" s="20"/>
      <c r="I111" s="20"/>
      <c r="J111" s="20"/>
      <c r="K111" s="21"/>
      <c r="L111" s="21"/>
      <c r="M111" s="22"/>
      <c r="N111" s="23" t="str">
        <f t="shared" si="2"/>
        <v>—</v>
      </c>
      <c r="O111" s="24" t="str">
        <f t="shared" si="3"/>
        <v>—</v>
      </c>
      <c r="Y111" s="16">
        <f t="shared" si="5"/>
        <v>110</v>
      </c>
      <c r="Z111" s="17" t="str">
        <f t="shared" si="6"/>
        <v/>
      </c>
    </row>
    <row r="112" ht="25.5" customHeight="1">
      <c r="D112" s="9" t="str">
        <f t="shared" si="1"/>
        <v/>
      </c>
      <c r="E112" s="10"/>
      <c r="F112" s="10"/>
      <c r="G112" s="11"/>
      <c r="H112" s="11"/>
      <c r="I112" s="11"/>
      <c r="J112" s="11"/>
      <c r="K112" s="12"/>
      <c r="L112" s="12"/>
      <c r="M112" s="13"/>
      <c r="N112" s="14" t="str">
        <f t="shared" si="2"/>
        <v>—</v>
      </c>
      <c r="O112" s="15" t="str">
        <f t="shared" si="3"/>
        <v>—</v>
      </c>
      <c r="Y112" s="16">
        <f t="shared" si="5"/>
        <v>111</v>
      </c>
      <c r="Z112" s="17" t="str">
        <f t="shared" si="6"/>
        <v/>
      </c>
    </row>
    <row r="113" ht="25.5" customHeight="1">
      <c r="D113" s="18" t="str">
        <f t="shared" si="1"/>
        <v/>
      </c>
      <c r="E113" s="19"/>
      <c r="F113" s="19"/>
      <c r="G113" s="20"/>
      <c r="H113" s="20"/>
      <c r="I113" s="20"/>
      <c r="J113" s="20"/>
      <c r="K113" s="21"/>
      <c r="L113" s="21"/>
      <c r="M113" s="22"/>
      <c r="N113" s="23" t="str">
        <f t="shared" si="2"/>
        <v>—</v>
      </c>
      <c r="O113" s="24" t="str">
        <f t="shared" si="3"/>
        <v>—</v>
      </c>
      <c r="Y113" s="16">
        <f t="shared" si="5"/>
        <v>112</v>
      </c>
      <c r="Z113" s="17" t="str">
        <f t="shared" si="6"/>
        <v/>
      </c>
    </row>
    <row r="114" ht="25.5" customHeight="1">
      <c r="D114" s="9" t="str">
        <f t="shared" si="1"/>
        <v/>
      </c>
      <c r="E114" s="10"/>
      <c r="F114" s="10"/>
      <c r="G114" s="11"/>
      <c r="H114" s="11"/>
      <c r="I114" s="11"/>
      <c r="J114" s="11"/>
      <c r="K114" s="12"/>
      <c r="L114" s="12"/>
      <c r="M114" s="13"/>
      <c r="N114" s="14" t="str">
        <f t="shared" si="2"/>
        <v>—</v>
      </c>
      <c r="O114" s="15" t="str">
        <f t="shared" si="3"/>
        <v>—</v>
      </c>
      <c r="Y114" s="16">
        <f t="shared" si="5"/>
        <v>113</v>
      </c>
      <c r="Z114" s="17" t="str">
        <f t="shared" si="6"/>
        <v/>
      </c>
    </row>
    <row r="115" ht="25.5" customHeight="1">
      <c r="D115" s="18" t="str">
        <f t="shared" si="1"/>
        <v/>
      </c>
      <c r="E115" s="19"/>
      <c r="F115" s="19"/>
      <c r="G115" s="20"/>
      <c r="H115" s="20"/>
      <c r="I115" s="20"/>
      <c r="J115" s="20"/>
      <c r="K115" s="21"/>
      <c r="L115" s="21"/>
      <c r="M115" s="22"/>
      <c r="N115" s="23" t="str">
        <f t="shared" si="2"/>
        <v>—</v>
      </c>
      <c r="O115" s="24" t="str">
        <f t="shared" si="3"/>
        <v>—</v>
      </c>
      <c r="Y115" s="16">
        <f t="shared" si="5"/>
        <v>114</v>
      </c>
      <c r="Z115" s="17" t="str">
        <f t="shared" si="6"/>
        <v/>
      </c>
    </row>
    <row r="116" ht="25.5" customHeight="1">
      <c r="D116" s="9" t="str">
        <f t="shared" si="1"/>
        <v/>
      </c>
      <c r="E116" s="10"/>
      <c r="F116" s="10"/>
      <c r="G116" s="11"/>
      <c r="H116" s="11"/>
      <c r="I116" s="11"/>
      <c r="J116" s="11"/>
      <c r="K116" s="12"/>
      <c r="L116" s="12"/>
      <c r="M116" s="13"/>
      <c r="N116" s="14" t="str">
        <f t="shared" si="2"/>
        <v>—</v>
      </c>
      <c r="O116" s="15" t="str">
        <f t="shared" si="3"/>
        <v>—</v>
      </c>
      <c r="Y116" s="16">
        <f t="shared" si="5"/>
        <v>115</v>
      </c>
      <c r="Z116" s="17" t="str">
        <f t="shared" si="6"/>
        <v/>
      </c>
    </row>
    <row r="117" ht="25.5" customHeight="1">
      <c r="D117" s="18" t="str">
        <f t="shared" si="1"/>
        <v/>
      </c>
      <c r="E117" s="19"/>
      <c r="F117" s="19"/>
      <c r="G117" s="20"/>
      <c r="H117" s="20"/>
      <c r="I117" s="20"/>
      <c r="J117" s="20"/>
      <c r="K117" s="21"/>
      <c r="L117" s="21"/>
      <c r="M117" s="22"/>
      <c r="N117" s="23" t="str">
        <f t="shared" si="2"/>
        <v>—</v>
      </c>
      <c r="O117" s="24" t="str">
        <f t="shared" si="3"/>
        <v>—</v>
      </c>
      <c r="Y117" s="16">
        <f t="shared" si="5"/>
        <v>116</v>
      </c>
      <c r="Z117" s="17" t="str">
        <f t="shared" si="6"/>
        <v/>
      </c>
    </row>
    <row r="118" ht="25.5" customHeight="1">
      <c r="D118" s="9" t="str">
        <f t="shared" si="1"/>
        <v/>
      </c>
      <c r="E118" s="10"/>
      <c r="F118" s="10"/>
      <c r="G118" s="11"/>
      <c r="H118" s="11"/>
      <c r="I118" s="11"/>
      <c r="J118" s="11"/>
      <c r="K118" s="12"/>
      <c r="L118" s="12"/>
      <c r="M118" s="13"/>
      <c r="N118" s="14" t="str">
        <f t="shared" si="2"/>
        <v>—</v>
      </c>
      <c r="O118" s="15" t="str">
        <f t="shared" si="3"/>
        <v>—</v>
      </c>
      <c r="Y118" s="16">
        <f t="shared" si="5"/>
        <v>117</v>
      </c>
      <c r="Z118" s="17" t="str">
        <f t="shared" si="6"/>
        <v/>
      </c>
    </row>
    <row r="119" ht="25.5" customHeight="1">
      <c r="D119" s="18" t="str">
        <f t="shared" si="1"/>
        <v/>
      </c>
      <c r="E119" s="19"/>
      <c r="F119" s="19"/>
      <c r="G119" s="20"/>
      <c r="H119" s="20"/>
      <c r="I119" s="20"/>
      <c r="J119" s="20"/>
      <c r="K119" s="21"/>
      <c r="L119" s="21"/>
      <c r="M119" s="22"/>
      <c r="N119" s="23" t="str">
        <f t="shared" si="2"/>
        <v>—</v>
      </c>
      <c r="O119" s="24" t="str">
        <f t="shared" si="3"/>
        <v>—</v>
      </c>
      <c r="Y119" s="16">
        <f t="shared" si="5"/>
        <v>118</v>
      </c>
      <c r="Z119" s="17" t="str">
        <f t="shared" si="6"/>
        <v/>
      </c>
    </row>
    <row r="120" ht="25.5" customHeight="1">
      <c r="D120" s="9" t="str">
        <f t="shared" si="1"/>
        <v/>
      </c>
      <c r="E120" s="10"/>
      <c r="F120" s="10"/>
      <c r="G120" s="11"/>
      <c r="H120" s="11"/>
      <c r="I120" s="11"/>
      <c r="J120" s="11"/>
      <c r="K120" s="12"/>
      <c r="L120" s="12"/>
      <c r="M120" s="13"/>
      <c r="N120" s="14" t="str">
        <f t="shared" si="2"/>
        <v>—</v>
      </c>
      <c r="O120" s="15" t="str">
        <f t="shared" si="3"/>
        <v>—</v>
      </c>
      <c r="Y120" s="16">
        <f t="shared" si="5"/>
        <v>119</v>
      </c>
      <c r="Z120" s="17" t="str">
        <f t="shared" si="6"/>
        <v/>
      </c>
    </row>
    <row r="121" ht="25.5" customHeight="1">
      <c r="D121" s="18" t="str">
        <f t="shared" si="1"/>
        <v/>
      </c>
      <c r="E121" s="19"/>
      <c r="F121" s="19"/>
      <c r="G121" s="20"/>
      <c r="H121" s="20"/>
      <c r="I121" s="20"/>
      <c r="J121" s="20"/>
      <c r="K121" s="21"/>
      <c r="L121" s="21"/>
      <c r="M121" s="22"/>
      <c r="N121" s="23" t="str">
        <f t="shared" si="2"/>
        <v>—</v>
      </c>
      <c r="O121" s="24" t="str">
        <f t="shared" si="3"/>
        <v>—</v>
      </c>
      <c r="Y121" s="16">
        <f t="shared" si="5"/>
        <v>120</v>
      </c>
      <c r="Z121" s="17" t="str">
        <f t="shared" si="6"/>
        <v/>
      </c>
    </row>
    <row r="122" ht="25.5" customHeight="1">
      <c r="D122" s="9" t="str">
        <f t="shared" si="1"/>
        <v/>
      </c>
      <c r="E122" s="10"/>
      <c r="F122" s="10"/>
      <c r="G122" s="11"/>
      <c r="H122" s="11"/>
      <c r="I122" s="11"/>
      <c r="J122" s="11"/>
      <c r="K122" s="12"/>
      <c r="L122" s="12"/>
      <c r="M122" s="13"/>
      <c r="N122" s="14" t="str">
        <f t="shared" si="2"/>
        <v>—</v>
      </c>
      <c r="O122" s="15" t="str">
        <f t="shared" si="3"/>
        <v>—</v>
      </c>
      <c r="Y122" s="16">
        <f t="shared" si="5"/>
        <v>121</v>
      </c>
      <c r="Z122" s="17" t="str">
        <f t="shared" si="6"/>
        <v/>
      </c>
    </row>
    <row r="123" ht="25.5" customHeight="1">
      <c r="D123" s="18" t="str">
        <f t="shared" si="1"/>
        <v/>
      </c>
      <c r="E123" s="19"/>
      <c r="F123" s="19"/>
      <c r="G123" s="20"/>
      <c r="H123" s="20"/>
      <c r="I123" s="20"/>
      <c r="J123" s="20"/>
      <c r="K123" s="21"/>
      <c r="L123" s="21"/>
      <c r="M123" s="22"/>
      <c r="N123" s="23" t="str">
        <f t="shared" si="2"/>
        <v>—</v>
      </c>
      <c r="O123" s="24" t="str">
        <f t="shared" si="3"/>
        <v>—</v>
      </c>
      <c r="Y123" s="16">
        <f t="shared" si="5"/>
        <v>122</v>
      </c>
      <c r="Z123" s="17" t="str">
        <f t="shared" si="6"/>
        <v/>
      </c>
    </row>
    <row r="124" ht="25.5" customHeight="1">
      <c r="D124" s="9" t="str">
        <f t="shared" si="1"/>
        <v/>
      </c>
      <c r="E124" s="10"/>
      <c r="F124" s="10"/>
      <c r="G124" s="11"/>
      <c r="H124" s="11"/>
      <c r="I124" s="11"/>
      <c r="J124" s="11"/>
      <c r="K124" s="12"/>
      <c r="L124" s="12"/>
      <c r="M124" s="13"/>
      <c r="N124" s="14" t="str">
        <f t="shared" si="2"/>
        <v>—</v>
      </c>
      <c r="O124" s="15" t="str">
        <f t="shared" si="3"/>
        <v>—</v>
      </c>
      <c r="Y124" s="16">
        <f t="shared" si="5"/>
        <v>123</v>
      </c>
      <c r="Z124" s="17" t="str">
        <f t="shared" si="6"/>
        <v/>
      </c>
    </row>
    <row r="125" ht="25.5" customHeight="1">
      <c r="D125" s="18" t="str">
        <f t="shared" si="1"/>
        <v/>
      </c>
      <c r="E125" s="19"/>
      <c r="F125" s="19"/>
      <c r="G125" s="20"/>
      <c r="H125" s="20"/>
      <c r="I125" s="20"/>
      <c r="J125" s="20"/>
      <c r="K125" s="21"/>
      <c r="L125" s="21"/>
      <c r="M125" s="22"/>
      <c r="N125" s="23" t="str">
        <f t="shared" si="2"/>
        <v>—</v>
      </c>
      <c r="O125" s="24" t="str">
        <f t="shared" si="3"/>
        <v>—</v>
      </c>
      <c r="Y125" s="16">
        <f t="shared" si="5"/>
        <v>124</v>
      </c>
      <c r="Z125" s="17" t="str">
        <f t="shared" si="6"/>
        <v/>
      </c>
    </row>
    <row r="126" ht="25.5" customHeight="1">
      <c r="D126" s="9" t="str">
        <f t="shared" si="1"/>
        <v/>
      </c>
      <c r="E126" s="10"/>
      <c r="F126" s="10"/>
      <c r="G126" s="11"/>
      <c r="H126" s="11"/>
      <c r="I126" s="11"/>
      <c r="J126" s="11"/>
      <c r="K126" s="12"/>
      <c r="L126" s="12"/>
      <c r="M126" s="13"/>
      <c r="N126" s="14" t="str">
        <f t="shared" si="2"/>
        <v>—</v>
      </c>
      <c r="O126" s="15" t="str">
        <f t="shared" si="3"/>
        <v>—</v>
      </c>
      <c r="Y126" s="16">
        <f t="shared" si="5"/>
        <v>125</v>
      </c>
      <c r="Z126" s="17" t="str">
        <f t="shared" si="6"/>
        <v/>
      </c>
    </row>
    <row r="127" ht="25.5" customHeight="1">
      <c r="D127" s="18" t="str">
        <f t="shared" si="1"/>
        <v/>
      </c>
      <c r="E127" s="19"/>
      <c r="F127" s="19"/>
      <c r="G127" s="20"/>
      <c r="H127" s="20"/>
      <c r="I127" s="20"/>
      <c r="J127" s="20"/>
      <c r="K127" s="21"/>
      <c r="L127" s="21"/>
      <c r="M127" s="22"/>
      <c r="N127" s="23" t="str">
        <f t="shared" si="2"/>
        <v>—</v>
      </c>
      <c r="O127" s="24" t="str">
        <f t="shared" si="3"/>
        <v>—</v>
      </c>
      <c r="Y127" s="16">
        <f t="shared" si="5"/>
        <v>126</v>
      </c>
      <c r="Z127" s="17" t="str">
        <f t="shared" si="6"/>
        <v/>
      </c>
    </row>
    <row r="128" ht="25.5" customHeight="1">
      <c r="D128" s="9" t="str">
        <f t="shared" si="1"/>
        <v/>
      </c>
      <c r="E128" s="10"/>
      <c r="F128" s="10"/>
      <c r="G128" s="11"/>
      <c r="H128" s="11"/>
      <c r="I128" s="11"/>
      <c r="J128" s="11"/>
      <c r="K128" s="12"/>
      <c r="L128" s="12"/>
      <c r="M128" s="13"/>
      <c r="N128" s="14" t="str">
        <f t="shared" si="2"/>
        <v>—</v>
      </c>
      <c r="O128" s="15" t="str">
        <f t="shared" si="3"/>
        <v>—</v>
      </c>
      <c r="Y128" s="16">
        <f t="shared" si="5"/>
        <v>127</v>
      </c>
      <c r="Z128" s="17" t="str">
        <f t="shared" si="6"/>
        <v/>
      </c>
    </row>
    <row r="129" ht="25.5" customHeight="1">
      <c r="D129" s="18" t="str">
        <f t="shared" si="1"/>
        <v/>
      </c>
      <c r="E129" s="19"/>
      <c r="F129" s="19"/>
      <c r="G129" s="20"/>
      <c r="H129" s="20"/>
      <c r="I129" s="20"/>
      <c r="J129" s="20"/>
      <c r="K129" s="21"/>
      <c r="L129" s="21"/>
      <c r="M129" s="22"/>
      <c r="N129" s="23" t="str">
        <f t="shared" si="2"/>
        <v>—</v>
      </c>
      <c r="O129" s="24" t="str">
        <f t="shared" si="3"/>
        <v>—</v>
      </c>
      <c r="Y129" s="16">
        <f t="shared" si="5"/>
        <v>128</v>
      </c>
      <c r="Z129" s="17" t="str">
        <f t="shared" si="6"/>
        <v/>
      </c>
    </row>
    <row r="130" ht="25.5" customHeight="1">
      <c r="D130" s="9" t="str">
        <f t="shared" si="1"/>
        <v/>
      </c>
      <c r="E130" s="10"/>
      <c r="F130" s="10"/>
      <c r="G130" s="11"/>
      <c r="H130" s="11"/>
      <c r="I130" s="11"/>
      <c r="J130" s="11"/>
      <c r="K130" s="12"/>
      <c r="L130" s="12"/>
      <c r="M130" s="13"/>
      <c r="N130" s="14" t="str">
        <f t="shared" si="2"/>
        <v>—</v>
      </c>
      <c r="O130" s="15" t="str">
        <f t="shared" si="3"/>
        <v>—</v>
      </c>
      <c r="Y130" s="16">
        <f t="shared" si="5"/>
        <v>129</v>
      </c>
      <c r="Z130" s="17" t="str">
        <f t="shared" si="6"/>
        <v/>
      </c>
    </row>
    <row r="131" ht="25.5" customHeight="1">
      <c r="D131" s="18" t="str">
        <f t="shared" si="1"/>
        <v/>
      </c>
      <c r="E131" s="19"/>
      <c r="F131" s="19"/>
      <c r="G131" s="20"/>
      <c r="H131" s="20"/>
      <c r="I131" s="20"/>
      <c r="J131" s="20"/>
      <c r="K131" s="21"/>
      <c r="L131" s="21"/>
      <c r="M131" s="22"/>
      <c r="N131" s="23" t="str">
        <f t="shared" si="2"/>
        <v>—</v>
      </c>
      <c r="O131" s="24" t="str">
        <f t="shared" si="3"/>
        <v>—</v>
      </c>
      <c r="Y131" s="16">
        <f t="shared" si="5"/>
        <v>130</v>
      </c>
      <c r="Z131" s="17" t="str">
        <f t="shared" si="6"/>
        <v/>
      </c>
    </row>
    <row r="132" ht="25.5" customHeight="1">
      <c r="D132" s="9" t="str">
        <f t="shared" si="1"/>
        <v/>
      </c>
      <c r="E132" s="10"/>
      <c r="F132" s="10"/>
      <c r="G132" s="11"/>
      <c r="H132" s="11"/>
      <c r="I132" s="11"/>
      <c r="J132" s="11"/>
      <c r="K132" s="12"/>
      <c r="L132" s="12"/>
      <c r="M132" s="13"/>
      <c r="N132" s="14" t="str">
        <f t="shared" si="2"/>
        <v>—</v>
      </c>
      <c r="O132" s="15" t="str">
        <f t="shared" si="3"/>
        <v>—</v>
      </c>
      <c r="Y132" s="16">
        <f t="shared" si="5"/>
        <v>131</v>
      </c>
      <c r="Z132" s="17" t="str">
        <f t="shared" si="6"/>
        <v/>
      </c>
    </row>
    <row r="133" ht="25.5" customHeight="1">
      <c r="D133" s="18" t="str">
        <f t="shared" si="1"/>
        <v/>
      </c>
      <c r="E133" s="19"/>
      <c r="F133" s="19"/>
      <c r="G133" s="20"/>
      <c r="H133" s="20"/>
      <c r="I133" s="20"/>
      <c r="J133" s="20"/>
      <c r="K133" s="21"/>
      <c r="L133" s="21"/>
      <c r="M133" s="22"/>
      <c r="N133" s="23" t="str">
        <f t="shared" si="2"/>
        <v>—</v>
      </c>
      <c r="O133" s="24" t="str">
        <f t="shared" si="3"/>
        <v>—</v>
      </c>
      <c r="Y133" s="16">
        <f t="shared" si="5"/>
        <v>132</v>
      </c>
      <c r="Z133" s="17" t="str">
        <f t="shared" si="6"/>
        <v/>
      </c>
    </row>
    <row r="134" ht="25.5" customHeight="1">
      <c r="D134" s="9" t="str">
        <f t="shared" si="1"/>
        <v/>
      </c>
      <c r="E134" s="10"/>
      <c r="F134" s="10"/>
      <c r="G134" s="11"/>
      <c r="H134" s="11"/>
      <c r="I134" s="11"/>
      <c r="J134" s="11"/>
      <c r="K134" s="12"/>
      <c r="L134" s="12"/>
      <c r="M134" s="13"/>
      <c r="N134" s="14" t="str">
        <f t="shared" si="2"/>
        <v>—</v>
      </c>
      <c r="O134" s="15" t="str">
        <f t="shared" si="3"/>
        <v>—</v>
      </c>
      <c r="Y134" s="16">
        <f t="shared" si="5"/>
        <v>133</v>
      </c>
      <c r="Z134" s="17" t="str">
        <f t="shared" si="6"/>
        <v/>
      </c>
    </row>
    <row r="135" ht="25.5" customHeight="1">
      <c r="D135" s="18" t="str">
        <f t="shared" si="1"/>
        <v/>
      </c>
      <c r="E135" s="19"/>
      <c r="F135" s="19"/>
      <c r="G135" s="20"/>
      <c r="H135" s="20"/>
      <c r="I135" s="20"/>
      <c r="J135" s="20"/>
      <c r="K135" s="21"/>
      <c r="L135" s="21"/>
      <c r="M135" s="22"/>
      <c r="N135" s="23" t="str">
        <f t="shared" si="2"/>
        <v>—</v>
      </c>
      <c r="O135" s="24" t="str">
        <f t="shared" si="3"/>
        <v>—</v>
      </c>
      <c r="Y135" s="16">
        <f t="shared" si="5"/>
        <v>134</v>
      </c>
      <c r="Z135" s="17" t="str">
        <f t="shared" si="6"/>
        <v/>
      </c>
    </row>
    <row r="136" ht="25.5" customHeight="1">
      <c r="D136" s="9" t="str">
        <f t="shared" si="1"/>
        <v/>
      </c>
      <c r="E136" s="10"/>
      <c r="F136" s="10"/>
      <c r="G136" s="11"/>
      <c r="H136" s="11"/>
      <c r="I136" s="11"/>
      <c r="J136" s="11"/>
      <c r="K136" s="12"/>
      <c r="L136" s="12"/>
      <c r="M136" s="13"/>
      <c r="N136" s="14" t="str">
        <f t="shared" si="2"/>
        <v>—</v>
      </c>
      <c r="O136" s="15" t="str">
        <f t="shared" si="3"/>
        <v>—</v>
      </c>
      <c r="Y136" s="16">
        <f t="shared" si="5"/>
        <v>135</v>
      </c>
      <c r="Z136" s="17" t="str">
        <f t="shared" si="6"/>
        <v/>
      </c>
    </row>
    <row r="137" ht="25.5" customHeight="1">
      <c r="D137" s="18" t="str">
        <f t="shared" si="1"/>
        <v/>
      </c>
      <c r="E137" s="19"/>
      <c r="F137" s="19"/>
      <c r="G137" s="20"/>
      <c r="H137" s="20"/>
      <c r="I137" s="20"/>
      <c r="J137" s="20"/>
      <c r="K137" s="21"/>
      <c r="L137" s="21"/>
      <c r="M137" s="22"/>
      <c r="N137" s="23" t="str">
        <f t="shared" si="2"/>
        <v>—</v>
      </c>
      <c r="O137" s="24" t="str">
        <f t="shared" si="3"/>
        <v>—</v>
      </c>
      <c r="Y137" s="16">
        <f t="shared" si="5"/>
        <v>136</v>
      </c>
      <c r="Z137" s="17" t="str">
        <f t="shared" si="6"/>
        <v/>
      </c>
    </row>
    <row r="138" ht="25.5" customHeight="1">
      <c r="D138" s="9" t="str">
        <f t="shared" si="1"/>
        <v/>
      </c>
      <c r="E138" s="10"/>
      <c r="F138" s="10"/>
      <c r="G138" s="11"/>
      <c r="H138" s="11"/>
      <c r="I138" s="11"/>
      <c r="J138" s="11"/>
      <c r="K138" s="12"/>
      <c r="L138" s="12"/>
      <c r="M138" s="13"/>
      <c r="N138" s="14" t="str">
        <f t="shared" si="2"/>
        <v>—</v>
      </c>
      <c r="O138" s="15" t="str">
        <f t="shared" si="3"/>
        <v>—</v>
      </c>
      <c r="Y138" s="16">
        <f t="shared" si="5"/>
        <v>137</v>
      </c>
      <c r="Z138" s="17" t="str">
        <f t="shared" si="6"/>
        <v/>
      </c>
    </row>
    <row r="139" ht="25.5" customHeight="1">
      <c r="D139" s="18" t="str">
        <f t="shared" si="1"/>
        <v/>
      </c>
      <c r="E139" s="19"/>
      <c r="F139" s="19"/>
      <c r="G139" s="20"/>
      <c r="H139" s="20"/>
      <c r="I139" s="20"/>
      <c r="J139" s="20"/>
      <c r="K139" s="21"/>
      <c r="L139" s="21"/>
      <c r="M139" s="22"/>
      <c r="N139" s="23" t="str">
        <f t="shared" si="2"/>
        <v>—</v>
      </c>
      <c r="O139" s="24" t="str">
        <f t="shared" si="3"/>
        <v>—</v>
      </c>
      <c r="Y139" s="16">
        <f t="shared" si="5"/>
        <v>138</v>
      </c>
      <c r="Z139" s="17" t="str">
        <f t="shared" si="6"/>
        <v/>
      </c>
    </row>
    <row r="140" ht="25.5" customHeight="1">
      <c r="D140" s="9" t="str">
        <f t="shared" si="1"/>
        <v/>
      </c>
      <c r="E140" s="10"/>
      <c r="F140" s="10"/>
      <c r="G140" s="11"/>
      <c r="H140" s="11"/>
      <c r="I140" s="11"/>
      <c r="J140" s="11"/>
      <c r="K140" s="12"/>
      <c r="L140" s="12"/>
      <c r="M140" s="13"/>
      <c r="N140" s="14" t="str">
        <f t="shared" si="2"/>
        <v>—</v>
      </c>
      <c r="O140" s="15" t="str">
        <f t="shared" si="3"/>
        <v>—</v>
      </c>
      <c r="Y140" s="16">
        <f t="shared" si="5"/>
        <v>139</v>
      </c>
      <c r="Z140" s="17" t="str">
        <f t="shared" si="6"/>
        <v/>
      </c>
    </row>
    <row r="141" ht="25.5" customHeight="1">
      <c r="D141" s="18" t="str">
        <f t="shared" si="1"/>
        <v/>
      </c>
      <c r="E141" s="19"/>
      <c r="F141" s="19"/>
      <c r="G141" s="20"/>
      <c r="H141" s="20"/>
      <c r="I141" s="20"/>
      <c r="J141" s="20"/>
      <c r="K141" s="21"/>
      <c r="L141" s="21"/>
      <c r="M141" s="22"/>
      <c r="N141" s="23" t="str">
        <f t="shared" si="2"/>
        <v>—</v>
      </c>
      <c r="O141" s="24" t="str">
        <f t="shared" si="3"/>
        <v>—</v>
      </c>
      <c r="Y141" s="16">
        <f t="shared" si="5"/>
        <v>140</v>
      </c>
      <c r="Z141" s="17" t="str">
        <f t="shared" si="6"/>
        <v/>
      </c>
    </row>
    <row r="142" ht="25.5" customHeight="1">
      <c r="D142" s="9" t="str">
        <f t="shared" si="1"/>
        <v/>
      </c>
      <c r="E142" s="10"/>
      <c r="F142" s="10"/>
      <c r="G142" s="11"/>
      <c r="H142" s="11"/>
      <c r="I142" s="11"/>
      <c r="J142" s="11"/>
      <c r="K142" s="12"/>
      <c r="L142" s="12"/>
      <c r="M142" s="13"/>
      <c r="N142" s="14" t="str">
        <f t="shared" si="2"/>
        <v>—</v>
      </c>
      <c r="O142" s="15" t="str">
        <f t="shared" si="3"/>
        <v>—</v>
      </c>
      <c r="Y142" s="16">
        <f t="shared" si="5"/>
        <v>141</v>
      </c>
      <c r="Z142" s="17" t="str">
        <f t="shared" si="6"/>
        <v/>
      </c>
    </row>
    <row r="143" ht="25.5" customHeight="1">
      <c r="D143" s="18" t="str">
        <f t="shared" si="1"/>
        <v/>
      </c>
      <c r="E143" s="19"/>
      <c r="F143" s="19"/>
      <c r="G143" s="20"/>
      <c r="H143" s="20"/>
      <c r="I143" s="20"/>
      <c r="J143" s="20"/>
      <c r="K143" s="21"/>
      <c r="L143" s="21"/>
      <c r="M143" s="22"/>
      <c r="N143" s="23" t="str">
        <f t="shared" si="2"/>
        <v>—</v>
      </c>
      <c r="O143" s="24" t="str">
        <f t="shared" si="3"/>
        <v>—</v>
      </c>
      <c r="Y143" s="16">
        <f t="shared" si="5"/>
        <v>142</v>
      </c>
      <c r="Z143" s="17" t="str">
        <f t="shared" si="6"/>
        <v/>
      </c>
    </row>
    <row r="144" ht="25.5" customHeight="1">
      <c r="D144" s="9" t="str">
        <f t="shared" si="1"/>
        <v/>
      </c>
      <c r="E144" s="10"/>
      <c r="F144" s="10"/>
      <c r="G144" s="11"/>
      <c r="H144" s="11"/>
      <c r="I144" s="11"/>
      <c r="J144" s="11"/>
      <c r="K144" s="12"/>
      <c r="L144" s="12"/>
      <c r="M144" s="13"/>
      <c r="N144" s="14" t="str">
        <f t="shared" si="2"/>
        <v>—</v>
      </c>
      <c r="O144" s="15" t="str">
        <f t="shared" si="3"/>
        <v>—</v>
      </c>
      <c r="Y144" s="16">
        <f t="shared" si="5"/>
        <v>143</v>
      </c>
      <c r="Z144" s="17" t="str">
        <f t="shared" si="6"/>
        <v/>
      </c>
    </row>
    <row r="145" ht="25.5" customHeight="1">
      <c r="D145" s="18" t="str">
        <f t="shared" si="1"/>
        <v/>
      </c>
      <c r="E145" s="19"/>
      <c r="F145" s="19"/>
      <c r="G145" s="20"/>
      <c r="H145" s="20"/>
      <c r="I145" s="20"/>
      <c r="J145" s="20"/>
      <c r="K145" s="21"/>
      <c r="L145" s="21"/>
      <c r="M145" s="22"/>
      <c r="N145" s="23" t="str">
        <f t="shared" si="2"/>
        <v>—</v>
      </c>
      <c r="O145" s="24" t="str">
        <f t="shared" si="3"/>
        <v>—</v>
      </c>
      <c r="Y145" s="16">
        <f t="shared" si="5"/>
        <v>144</v>
      </c>
      <c r="Z145" s="17" t="str">
        <f t="shared" si="6"/>
        <v/>
      </c>
    </row>
    <row r="146" ht="25.5" customHeight="1">
      <c r="D146" s="9" t="str">
        <f t="shared" si="1"/>
        <v/>
      </c>
      <c r="E146" s="10"/>
      <c r="F146" s="10"/>
      <c r="G146" s="11"/>
      <c r="H146" s="11"/>
      <c r="I146" s="11"/>
      <c r="J146" s="11"/>
      <c r="K146" s="12"/>
      <c r="L146" s="12"/>
      <c r="M146" s="13"/>
      <c r="N146" s="14" t="str">
        <f t="shared" si="2"/>
        <v>—</v>
      </c>
      <c r="O146" s="15" t="str">
        <f t="shared" si="3"/>
        <v>—</v>
      </c>
      <c r="Y146" s="16">
        <f t="shared" si="5"/>
        <v>145</v>
      </c>
      <c r="Z146" s="17" t="str">
        <f t="shared" si="6"/>
        <v/>
      </c>
    </row>
    <row r="147" ht="25.5" customHeight="1">
      <c r="D147" s="18" t="str">
        <f t="shared" si="1"/>
        <v/>
      </c>
      <c r="E147" s="19"/>
      <c r="F147" s="19"/>
      <c r="G147" s="20"/>
      <c r="H147" s="20"/>
      <c r="I147" s="20"/>
      <c r="J147" s="20"/>
      <c r="K147" s="21"/>
      <c r="L147" s="21"/>
      <c r="M147" s="22"/>
      <c r="N147" s="23" t="str">
        <f t="shared" si="2"/>
        <v>—</v>
      </c>
      <c r="O147" s="24" t="str">
        <f t="shared" si="3"/>
        <v>—</v>
      </c>
      <c r="Y147" s="16">
        <f t="shared" si="5"/>
        <v>146</v>
      </c>
      <c r="Z147" s="17" t="str">
        <f t="shared" si="6"/>
        <v/>
      </c>
    </row>
    <row r="148" ht="25.5" customHeight="1">
      <c r="D148" s="9" t="str">
        <f t="shared" si="1"/>
        <v/>
      </c>
      <c r="E148" s="10"/>
      <c r="F148" s="10"/>
      <c r="G148" s="11"/>
      <c r="H148" s="11"/>
      <c r="I148" s="11"/>
      <c r="J148" s="11"/>
      <c r="K148" s="12"/>
      <c r="L148" s="12"/>
      <c r="M148" s="13"/>
      <c r="N148" s="14" t="str">
        <f t="shared" si="2"/>
        <v>—</v>
      </c>
      <c r="O148" s="15" t="str">
        <f t="shared" si="3"/>
        <v>—</v>
      </c>
      <c r="Y148" s="16">
        <f t="shared" si="5"/>
        <v>147</v>
      </c>
      <c r="Z148" s="17" t="str">
        <f t="shared" si="6"/>
        <v/>
      </c>
    </row>
    <row r="149" ht="25.5" customHeight="1">
      <c r="D149" s="18" t="str">
        <f t="shared" si="1"/>
        <v/>
      </c>
      <c r="E149" s="19"/>
      <c r="F149" s="19"/>
      <c r="G149" s="20"/>
      <c r="H149" s="20"/>
      <c r="I149" s="20"/>
      <c r="J149" s="20"/>
      <c r="K149" s="21"/>
      <c r="L149" s="21"/>
      <c r="M149" s="22"/>
      <c r="N149" s="23" t="str">
        <f t="shared" si="2"/>
        <v>—</v>
      </c>
      <c r="O149" s="24" t="str">
        <f t="shared" si="3"/>
        <v>—</v>
      </c>
      <c r="Y149" s="16">
        <f t="shared" si="5"/>
        <v>148</v>
      </c>
      <c r="Z149" s="17" t="str">
        <f t="shared" si="6"/>
        <v/>
      </c>
    </row>
    <row r="150" ht="25.5" customHeight="1">
      <c r="D150" s="9" t="str">
        <f t="shared" si="1"/>
        <v/>
      </c>
      <c r="E150" s="10"/>
      <c r="F150" s="10"/>
      <c r="G150" s="11"/>
      <c r="H150" s="11"/>
      <c r="I150" s="11"/>
      <c r="J150" s="11"/>
      <c r="K150" s="12"/>
      <c r="L150" s="12"/>
      <c r="M150" s="13"/>
      <c r="N150" s="14" t="str">
        <f t="shared" si="2"/>
        <v>—</v>
      </c>
      <c r="O150" s="15" t="str">
        <f t="shared" si="3"/>
        <v>—</v>
      </c>
      <c r="Y150" s="16">
        <f t="shared" si="5"/>
        <v>149</v>
      </c>
      <c r="Z150" s="17" t="str">
        <f t="shared" si="6"/>
        <v/>
      </c>
    </row>
    <row r="151" ht="25.5" customHeight="1">
      <c r="D151" s="18" t="str">
        <f t="shared" si="1"/>
        <v/>
      </c>
      <c r="E151" s="19"/>
      <c r="F151" s="19"/>
      <c r="G151" s="20"/>
      <c r="H151" s="20"/>
      <c r="I151" s="20"/>
      <c r="J151" s="20"/>
      <c r="K151" s="21"/>
      <c r="L151" s="21"/>
      <c r="M151" s="22"/>
      <c r="N151" s="23" t="str">
        <f t="shared" si="2"/>
        <v>—</v>
      </c>
      <c r="O151" s="24" t="str">
        <f t="shared" si="3"/>
        <v>—</v>
      </c>
      <c r="Y151" s="16">
        <f t="shared" si="5"/>
        <v>150</v>
      </c>
      <c r="Z151" s="17" t="str">
        <f t="shared" si="6"/>
        <v/>
      </c>
    </row>
    <row r="152" ht="25.5" customHeight="1">
      <c r="D152" s="9" t="str">
        <f t="shared" si="1"/>
        <v/>
      </c>
      <c r="E152" s="10"/>
      <c r="F152" s="10"/>
      <c r="G152" s="11"/>
      <c r="H152" s="11"/>
      <c r="I152" s="11"/>
      <c r="J152" s="11"/>
      <c r="K152" s="12"/>
      <c r="L152" s="12"/>
      <c r="M152" s="13"/>
      <c r="N152" s="14" t="str">
        <f t="shared" si="2"/>
        <v>—</v>
      </c>
      <c r="O152" s="15" t="str">
        <f t="shared" si="3"/>
        <v>—</v>
      </c>
      <c r="Y152" s="16">
        <f t="shared" si="5"/>
        <v>151</v>
      </c>
      <c r="Z152" s="17" t="str">
        <f t="shared" si="6"/>
        <v/>
      </c>
    </row>
    <row r="153" ht="25.5" customHeight="1">
      <c r="D153" s="18" t="str">
        <f t="shared" si="1"/>
        <v/>
      </c>
      <c r="E153" s="19"/>
      <c r="F153" s="19"/>
      <c r="G153" s="20"/>
      <c r="H153" s="20"/>
      <c r="I153" s="20"/>
      <c r="J153" s="20"/>
      <c r="K153" s="21"/>
      <c r="L153" s="21"/>
      <c r="M153" s="22"/>
      <c r="N153" s="23" t="str">
        <f t="shared" si="2"/>
        <v>—</v>
      </c>
      <c r="O153" s="24" t="str">
        <f t="shared" si="3"/>
        <v>—</v>
      </c>
      <c r="Y153" s="16">
        <f t="shared" si="5"/>
        <v>152</v>
      </c>
      <c r="Z153" s="17" t="str">
        <f t="shared" si="6"/>
        <v/>
      </c>
    </row>
    <row r="154" ht="25.5" customHeight="1">
      <c r="D154" s="9" t="str">
        <f t="shared" si="1"/>
        <v/>
      </c>
      <c r="E154" s="10"/>
      <c r="F154" s="10"/>
      <c r="G154" s="11"/>
      <c r="H154" s="11"/>
      <c r="I154" s="11"/>
      <c r="J154" s="11"/>
      <c r="K154" s="12"/>
      <c r="L154" s="12"/>
      <c r="M154" s="13"/>
      <c r="N154" s="14" t="str">
        <f t="shared" si="2"/>
        <v>—</v>
      </c>
      <c r="O154" s="15" t="str">
        <f t="shared" si="3"/>
        <v>—</v>
      </c>
      <c r="Y154" s="16">
        <f t="shared" si="5"/>
        <v>153</v>
      </c>
      <c r="Z154" s="17" t="str">
        <f t="shared" si="6"/>
        <v/>
      </c>
    </row>
    <row r="155" ht="25.5" customHeight="1">
      <c r="D155" s="18" t="str">
        <f t="shared" si="1"/>
        <v/>
      </c>
      <c r="E155" s="19"/>
      <c r="F155" s="19"/>
      <c r="G155" s="20"/>
      <c r="H155" s="20"/>
      <c r="I155" s="20"/>
      <c r="J155" s="20"/>
      <c r="K155" s="21"/>
      <c r="L155" s="21"/>
      <c r="M155" s="22"/>
      <c r="N155" s="23" t="str">
        <f t="shared" si="2"/>
        <v>—</v>
      </c>
      <c r="O155" s="24" t="str">
        <f t="shared" si="3"/>
        <v>—</v>
      </c>
      <c r="Y155" s="16">
        <f t="shared" si="5"/>
        <v>154</v>
      </c>
      <c r="Z155" s="17" t="str">
        <f t="shared" si="6"/>
        <v/>
      </c>
    </row>
    <row r="156" ht="25.5" customHeight="1">
      <c r="D156" s="9" t="str">
        <f t="shared" si="1"/>
        <v/>
      </c>
      <c r="E156" s="10"/>
      <c r="F156" s="10"/>
      <c r="G156" s="11"/>
      <c r="H156" s="11"/>
      <c r="I156" s="11"/>
      <c r="J156" s="11"/>
      <c r="K156" s="12"/>
      <c r="L156" s="12"/>
      <c r="M156" s="13"/>
      <c r="N156" s="14" t="str">
        <f t="shared" si="2"/>
        <v>—</v>
      </c>
      <c r="O156" s="15" t="str">
        <f t="shared" si="3"/>
        <v>—</v>
      </c>
      <c r="Y156" s="16">
        <f t="shared" si="5"/>
        <v>155</v>
      </c>
      <c r="Z156" s="17" t="str">
        <f t="shared" si="6"/>
        <v/>
      </c>
    </row>
    <row r="157" ht="25.5" customHeight="1">
      <c r="D157" s="18" t="str">
        <f t="shared" si="1"/>
        <v/>
      </c>
      <c r="E157" s="19"/>
      <c r="F157" s="19"/>
      <c r="G157" s="20"/>
      <c r="H157" s="20"/>
      <c r="I157" s="20"/>
      <c r="J157" s="20"/>
      <c r="K157" s="21"/>
      <c r="L157" s="21"/>
      <c r="M157" s="22"/>
      <c r="N157" s="23" t="str">
        <f t="shared" si="2"/>
        <v>—</v>
      </c>
      <c r="O157" s="24" t="str">
        <f t="shared" si="3"/>
        <v>—</v>
      </c>
      <c r="Y157" s="16">
        <f t="shared" si="5"/>
        <v>156</v>
      </c>
      <c r="Z157" s="17" t="str">
        <f t="shared" si="6"/>
        <v/>
      </c>
    </row>
    <row r="158" ht="25.5" customHeight="1">
      <c r="D158" s="9" t="str">
        <f t="shared" si="1"/>
        <v/>
      </c>
      <c r="E158" s="10"/>
      <c r="F158" s="10"/>
      <c r="G158" s="11"/>
      <c r="H158" s="11"/>
      <c r="I158" s="11"/>
      <c r="J158" s="11"/>
      <c r="K158" s="12"/>
      <c r="L158" s="12"/>
      <c r="M158" s="13"/>
      <c r="N158" s="14" t="str">
        <f t="shared" si="2"/>
        <v>—</v>
      </c>
      <c r="O158" s="15" t="str">
        <f t="shared" si="3"/>
        <v>—</v>
      </c>
      <c r="Y158" s="16">
        <f t="shared" si="5"/>
        <v>157</v>
      </c>
      <c r="Z158" s="17" t="str">
        <f t="shared" si="6"/>
        <v/>
      </c>
    </row>
    <row r="159" ht="25.5" customHeight="1">
      <c r="D159" s="18" t="str">
        <f t="shared" si="1"/>
        <v/>
      </c>
      <c r="E159" s="19"/>
      <c r="F159" s="19"/>
      <c r="G159" s="20"/>
      <c r="H159" s="20"/>
      <c r="I159" s="20"/>
      <c r="J159" s="20"/>
      <c r="K159" s="21"/>
      <c r="L159" s="21"/>
      <c r="M159" s="22"/>
      <c r="N159" s="23" t="str">
        <f t="shared" si="2"/>
        <v>—</v>
      </c>
      <c r="O159" s="24" t="str">
        <f t="shared" si="3"/>
        <v>—</v>
      </c>
      <c r="Y159" s="16">
        <f t="shared" si="5"/>
        <v>158</v>
      </c>
      <c r="Z159" s="17" t="str">
        <f t="shared" si="6"/>
        <v/>
      </c>
    </row>
    <row r="160" ht="25.5" customHeight="1">
      <c r="D160" s="9" t="str">
        <f t="shared" si="1"/>
        <v/>
      </c>
      <c r="E160" s="10"/>
      <c r="F160" s="10"/>
      <c r="G160" s="11"/>
      <c r="H160" s="11"/>
      <c r="I160" s="11"/>
      <c r="J160" s="11"/>
      <c r="K160" s="12"/>
      <c r="L160" s="12"/>
      <c r="M160" s="13"/>
      <c r="N160" s="14" t="str">
        <f t="shared" si="2"/>
        <v>—</v>
      </c>
      <c r="O160" s="15" t="str">
        <f t="shared" si="3"/>
        <v>—</v>
      </c>
      <c r="Y160" s="16">
        <f t="shared" si="5"/>
        <v>159</v>
      </c>
      <c r="Z160" s="17" t="str">
        <f t="shared" si="6"/>
        <v/>
      </c>
    </row>
    <row r="161" ht="25.5" customHeight="1">
      <c r="D161" s="18" t="str">
        <f t="shared" si="1"/>
        <v/>
      </c>
      <c r="E161" s="19"/>
      <c r="F161" s="19"/>
      <c r="G161" s="20"/>
      <c r="H161" s="20"/>
      <c r="I161" s="20"/>
      <c r="J161" s="20"/>
      <c r="K161" s="21"/>
      <c r="L161" s="21"/>
      <c r="M161" s="22"/>
      <c r="N161" s="23" t="str">
        <f t="shared" si="2"/>
        <v>—</v>
      </c>
      <c r="O161" s="24" t="str">
        <f t="shared" si="3"/>
        <v>—</v>
      </c>
      <c r="Y161" s="16">
        <f t="shared" si="5"/>
        <v>160</v>
      </c>
      <c r="Z161" s="17" t="str">
        <f t="shared" si="6"/>
        <v/>
      </c>
    </row>
    <row r="162" ht="25.5" customHeight="1">
      <c r="D162" s="9" t="str">
        <f t="shared" si="1"/>
        <v/>
      </c>
      <c r="E162" s="10"/>
      <c r="F162" s="10"/>
      <c r="G162" s="11"/>
      <c r="H162" s="11"/>
      <c r="I162" s="11"/>
      <c r="J162" s="11"/>
      <c r="K162" s="12"/>
      <c r="L162" s="12"/>
      <c r="M162" s="13"/>
      <c r="N162" s="14" t="str">
        <f t="shared" si="2"/>
        <v>—</v>
      </c>
      <c r="O162" s="15" t="str">
        <f t="shared" si="3"/>
        <v>—</v>
      </c>
      <c r="Y162" s="16">
        <f t="shared" si="5"/>
        <v>161</v>
      </c>
      <c r="Z162" s="17" t="str">
        <f t="shared" si="6"/>
        <v/>
      </c>
    </row>
    <row r="163" ht="25.5" customHeight="1">
      <c r="D163" s="18" t="str">
        <f t="shared" si="1"/>
        <v/>
      </c>
      <c r="E163" s="19"/>
      <c r="F163" s="19"/>
      <c r="G163" s="20"/>
      <c r="H163" s="20"/>
      <c r="I163" s="20"/>
      <c r="J163" s="20"/>
      <c r="K163" s="21"/>
      <c r="L163" s="21"/>
      <c r="M163" s="22"/>
      <c r="N163" s="23" t="str">
        <f t="shared" si="2"/>
        <v>—</v>
      </c>
      <c r="O163" s="24" t="str">
        <f t="shared" si="3"/>
        <v>—</v>
      </c>
      <c r="Y163" s="16">
        <f t="shared" si="5"/>
        <v>162</v>
      </c>
      <c r="Z163" s="17" t="str">
        <f t="shared" si="6"/>
        <v/>
      </c>
    </row>
    <row r="164" ht="25.5" customHeight="1">
      <c r="D164" s="9" t="str">
        <f t="shared" si="1"/>
        <v/>
      </c>
      <c r="E164" s="10"/>
      <c r="F164" s="10"/>
      <c r="G164" s="11"/>
      <c r="H164" s="11"/>
      <c r="I164" s="11"/>
      <c r="J164" s="11"/>
      <c r="K164" s="12"/>
      <c r="L164" s="12"/>
      <c r="M164" s="13"/>
      <c r="N164" s="14" t="str">
        <f t="shared" si="2"/>
        <v>—</v>
      </c>
      <c r="O164" s="15" t="str">
        <f t="shared" si="3"/>
        <v>—</v>
      </c>
      <c r="Y164" s="16">
        <f t="shared" si="5"/>
        <v>163</v>
      </c>
      <c r="Z164" s="17" t="str">
        <f t="shared" si="6"/>
        <v/>
      </c>
    </row>
    <row r="165" ht="25.5" customHeight="1">
      <c r="D165" s="18" t="str">
        <f t="shared" si="1"/>
        <v/>
      </c>
      <c r="E165" s="19"/>
      <c r="F165" s="19"/>
      <c r="G165" s="20"/>
      <c r="H165" s="20"/>
      <c r="I165" s="20"/>
      <c r="J165" s="20"/>
      <c r="K165" s="21"/>
      <c r="L165" s="21"/>
      <c r="M165" s="22"/>
      <c r="N165" s="23" t="str">
        <f t="shared" si="2"/>
        <v>—</v>
      </c>
      <c r="O165" s="24" t="str">
        <f t="shared" si="3"/>
        <v>—</v>
      </c>
      <c r="Y165" s="16">
        <f t="shared" si="5"/>
        <v>164</v>
      </c>
      <c r="Z165" s="17" t="str">
        <f t="shared" si="6"/>
        <v/>
      </c>
    </row>
    <row r="166" ht="25.5" customHeight="1">
      <c r="D166" s="9" t="str">
        <f t="shared" si="1"/>
        <v/>
      </c>
      <c r="E166" s="10"/>
      <c r="F166" s="10"/>
      <c r="G166" s="11"/>
      <c r="H166" s="11"/>
      <c r="I166" s="11"/>
      <c r="J166" s="11"/>
      <c r="K166" s="12"/>
      <c r="L166" s="12"/>
      <c r="M166" s="13"/>
      <c r="N166" s="14" t="str">
        <f t="shared" si="2"/>
        <v>—</v>
      </c>
      <c r="O166" s="15" t="str">
        <f t="shared" si="3"/>
        <v>—</v>
      </c>
      <c r="Y166" s="16">
        <f t="shared" si="5"/>
        <v>165</v>
      </c>
      <c r="Z166" s="17" t="str">
        <f t="shared" si="6"/>
        <v/>
      </c>
    </row>
    <row r="167" ht="25.5" customHeight="1">
      <c r="D167" s="18" t="str">
        <f t="shared" si="1"/>
        <v/>
      </c>
      <c r="E167" s="19"/>
      <c r="F167" s="19"/>
      <c r="G167" s="20"/>
      <c r="H167" s="20"/>
      <c r="I167" s="20"/>
      <c r="J167" s="20"/>
      <c r="K167" s="21"/>
      <c r="L167" s="21"/>
      <c r="M167" s="22"/>
      <c r="N167" s="23" t="str">
        <f t="shared" si="2"/>
        <v>—</v>
      </c>
      <c r="O167" s="24" t="str">
        <f t="shared" si="3"/>
        <v>—</v>
      </c>
      <c r="Y167" s="16">
        <f t="shared" si="5"/>
        <v>166</v>
      </c>
      <c r="Z167" s="17" t="str">
        <f t="shared" si="6"/>
        <v/>
      </c>
    </row>
    <row r="168" ht="25.5" customHeight="1">
      <c r="D168" s="9" t="str">
        <f t="shared" si="1"/>
        <v/>
      </c>
      <c r="E168" s="10"/>
      <c r="F168" s="10"/>
      <c r="G168" s="11"/>
      <c r="H168" s="11"/>
      <c r="I168" s="11"/>
      <c r="J168" s="11"/>
      <c r="K168" s="12"/>
      <c r="L168" s="12"/>
      <c r="M168" s="13"/>
      <c r="N168" s="14" t="str">
        <f t="shared" si="2"/>
        <v>—</v>
      </c>
      <c r="O168" s="15" t="str">
        <f t="shared" si="3"/>
        <v>—</v>
      </c>
      <c r="Y168" s="16">
        <f t="shared" si="5"/>
        <v>167</v>
      </c>
      <c r="Z168" s="17" t="str">
        <f t="shared" si="6"/>
        <v/>
      </c>
    </row>
    <row r="169" ht="25.5" customHeight="1">
      <c r="D169" s="18" t="str">
        <f t="shared" si="1"/>
        <v/>
      </c>
      <c r="E169" s="19"/>
      <c r="F169" s="19"/>
      <c r="G169" s="20"/>
      <c r="H169" s="20"/>
      <c r="I169" s="20"/>
      <c r="J169" s="20"/>
      <c r="K169" s="21"/>
      <c r="L169" s="21"/>
      <c r="M169" s="22"/>
      <c r="N169" s="23" t="str">
        <f t="shared" si="2"/>
        <v>—</v>
      </c>
      <c r="O169" s="24" t="str">
        <f t="shared" si="3"/>
        <v>—</v>
      </c>
      <c r="Y169" s="16">
        <f t="shared" si="5"/>
        <v>168</v>
      </c>
      <c r="Z169" s="17" t="str">
        <f t="shared" si="6"/>
        <v/>
      </c>
    </row>
    <row r="170" ht="25.5" customHeight="1">
      <c r="D170" s="9" t="str">
        <f t="shared" si="1"/>
        <v/>
      </c>
      <c r="E170" s="10"/>
      <c r="F170" s="10"/>
      <c r="G170" s="11"/>
      <c r="H170" s="11"/>
      <c r="I170" s="11"/>
      <c r="J170" s="11"/>
      <c r="K170" s="12"/>
      <c r="L170" s="12"/>
      <c r="M170" s="13"/>
      <c r="N170" s="14" t="str">
        <f t="shared" si="2"/>
        <v>—</v>
      </c>
      <c r="O170" s="15" t="str">
        <f t="shared" si="3"/>
        <v>—</v>
      </c>
      <c r="Y170" s="16">
        <f t="shared" si="5"/>
        <v>169</v>
      </c>
      <c r="Z170" s="17" t="str">
        <f t="shared" si="6"/>
        <v/>
      </c>
    </row>
    <row r="171" ht="25.5" customHeight="1">
      <c r="D171" s="18" t="str">
        <f t="shared" si="1"/>
        <v/>
      </c>
      <c r="E171" s="19"/>
      <c r="F171" s="19"/>
      <c r="G171" s="20"/>
      <c r="H171" s="20"/>
      <c r="I171" s="20"/>
      <c r="J171" s="20"/>
      <c r="K171" s="21"/>
      <c r="L171" s="21"/>
      <c r="M171" s="22"/>
      <c r="N171" s="23" t="str">
        <f t="shared" si="2"/>
        <v>—</v>
      </c>
      <c r="O171" s="24" t="str">
        <f t="shared" si="3"/>
        <v>—</v>
      </c>
      <c r="Y171" s="16">
        <f t="shared" si="5"/>
        <v>170</v>
      </c>
      <c r="Z171" s="17" t="str">
        <f t="shared" si="6"/>
        <v/>
      </c>
    </row>
    <row r="172" ht="25.5" customHeight="1">
      <c r="D172" s="9" t="str">
        <f t="shared" si="1"/>
        <v/>
      </c>
      <c r="E172" s="10"/>
      <c r="F172" s="10"/>
      <c r="G172" s="11"/>
      <c r="H172" s="11"/>
      <c r="I172" s="11"/>
      <c r="J172" s="11"/>
      <c r="K172" s="12"/>
      <c r="L172" s="12"/>
      <c r="M172" s="13"/>
      <c r="N172" s="14" t="str">
        <f t="shared" si="2"/>
        <v>—</v>
      </c>
      <c r="O172" s="15" t="str">
        <f t="shared" si="3"/>
        <v>—</v>
      </c>
      <c r="Y172" s="16">
        <f t="shared" si="5"/>
        <v>171</v>
      </c>
      <c r="Z172" s="17" t="str">
        <f t="shared" si="6"/>
        <v/>
      </c>
    </row>
    <row r="173" ht="25.5" customHeight="1">
      <c r="D173" s="18" t="str">
        <f t="shared" si="1"/>
        <v/>
      </c>
      <c r="E173" s="19"/>
      <c r="F173" s="19"/>
      <c r="G173" s="20"/>
      <c r="H173" s="20"/>
      <c r="I173" s="20"/>
      <c r="J173" s="20"/>
      <c r="K173" s="21"/>
      <c r="L173" s="21"/>
      <c r="M173" s="22"/>
      <c r="N173" s="23" t="str">
        <f t="shared" si="2"/>
        <v>—</v>
      </c>
      <c r="O173" s="24" t="str">
        <f t="shared" si="3"/>
        <v>—</v>
      </c>
      <c r="Y173" s="16">
        <f t="shared" si="5"/>
        <v>172</v>
      </c>
      <c r="Z173" s="17" t="str">
        <f t="shared" si="6"/>
        <v/>
      </c>
    </row>
    <row r="174" ht="25.5" customHeight="1">
      <c r="D174" s="9" t="str">
        <f t="shared" si="1"/>
        <v/>
      </c>
      <c r="E174" s="10"/>
      <c r="F174" s="10"/>
      <c r="G174" s="11"/>
      <c r="H174" s="11"/>
      <c r="I174" s="11"/>
      <c r="J174" s="11"/>
      <c r="K174" s="12"/>
      <c r="L174" s="12"/>
      <c r="M174" s="13"/>
      <c r="N174" s="14" t="str">
        <f t="shared" si="2"/>
        <v>—</v>
      </c>
      <c r="O174" s="15" t="str">
        <f t="shared" si="3"/>
        <v>—</v>
      </c>
      <c r="Y174" s="16">
        <f t="shared" si="5"/>
        <v>173</v>
      </c>
      <c r="Z174" s="17" t="str">
        <f t="shared" si="6"/>
        <v/>
      </c>
    </row>
    <row r="175" ht="25.5" customHeight="1">
      <c r="D175" s="18" t="str">
        <f t="shared" si="1"/>
        <v/>
      </c>
      <c r="E175" s="19"/>
      <c r="F175" s="19"/>
      <c r="G175" s="20"/>
      <c r="H175" s="20"/>
      <c r="I175" s="20"/>
      <c r="J175" s="20"/>
      <c r="K175" s="21"/>
      <c r="L175" s="21"/>
      <c r="M175" s="22"/>
      <c r="N175" s="23" t="str">
        <f t="shared" si="2"/>
        <v>—</v>
      </c>
      <c r="O175" s="24" t="str">
        <f t="shared" si="3"/>
        <v>—</v>
      </c>
      <c r="Y175" s="16">
        <f t="shared" si="5"/>
        <v>174</v>
      </c>
      <c r="Z175" s="17" t="str">
        <f t="shared" si="6"/>
        <v/>
      </c>
    </row>
    <row r="176" ht="25.5" customHeight="1">
      <c r="D176" s="9" t="str">
        <f t="shared" si="1"/>
        <v/>
      </c>
      <c r="E176" s="10"/>
      <c r="F176" s="10"/>
      <c r="G176" s="11"/>
      <c r="H176" s="11"/>
      <c r="I176" s="11"/>
      <c r="J176" s="11"/>
      <c r="K176" s="12"/>
      <c r="L176" s="12"/>
      <c r="M176" s="13"/>
      <c r="N176" s="14" t="str">
        <f t="shared" si="2"/>
        <v>—</v>
      </c>
      <c r="O176" s="15" t="str">
        <f t="shared" si="3"/>
        <v>—</v>
      </c>
      <c r="Y176" s="16">
        <f t="shared" si="5"/>
        <v>175</v>
      </c>
      <c r="Z176" s="17" t="str">
        <f t="shared" si="6"/>
        <v/>
      </c>
    </row>
    <row r="177" ht="25.5" customHeight="1">
      <c r="D177" s="18" t="str">
        <f t="shared" si="1"/>
        <v/>
      </c>
      <c r="E177" s="19"/>
      <c r="F177" s="19"/>
      <c r="G177" s="20"/>
      <c r="H177" s="20"/>
      <c r="I177" s="20"/>
      <c r="J177" s="20"/>
      <c r="K177" s="21"/>
      <c r="L177" s="21"/>
      <c r="M177" s="22"/>
      <c r="N177" s="23" t="str">
        <f t="shared" si="2"/>
        <v>—</v>
      </c>
      <c r="O177" s="24" t="str">
        <f t="shared" si="3"/>
        <v>—</v>
      </c>
      <c r="Y177" s="16">
        <f t="shared" si="5"/>
        <v>176</v>
      </c>
      <c r="Z177" s="17" t="str">
        <f t="shared" si="6"/>
        <v/>
      </c>
    </row>
    <row r="178" ht="25.5" customHeight="1">
      <c r="D178" s="9" t="str">
        <f t="shared" si="1"/>
        <v/>
      </c>
      <c r="E178" s="10"/>
      <c r="F178" s="10"/>
      <c r="G178" s="11"/>
      <c r="H178" s="11"/>
      <c r="I178" s="11"/>
      <c r="J178" s="11"/>
      <c r="K178" s="12"/>
      <c r="L178" s="12"/>
      <c r="M178" s="13"/>
      <c r="N178" s="14" t="str">
        <f t="shared" si="2"/>
        <v>—</v>
      </c>
      <c r="O178" s="15" t="str">
        <f t="shared" si="3"/>
        <v>—</v>
      </c>
      <c r="Y178" s="16">
        <f t="shared" si="5"/>
        <v>177</v>
      </c>
      <c r="Z178" s="17" t="str">
        <f t="shared" si="6"/>
        <v/>
      </c>
    </row>
    <row r="179" ht="25.5" customHeight="1">
      <c r="D179" s="18" t="str">
        <f t="shared" si="1"/>
        <v/>
      </c>
      <c r="E179" s="19"/>
      <c r="F179" s="19"/>
      <c r="G179" s="20"/>
      <c r="H179" s="20"/>
      <c r="I179" s="20"/>
      <c r="J179" s="20"/>
      <c r="K179" s="21"/>
      <c r="L179" s="21"/>
      <c r="M179" s="22"/>
      <c r="N179" s="23" t="str">
        <f t="shared" si="2"/>
        <v>—</v>
      </c>
      <c r="O179" s="24" t="str">
        <f t="shared" si="3"/>
        <v>—</v>
      </c>
      <c r="Y179" s="16">
        <f t="shared" si="5"/>
        <v>178</v>
      </c>
      <c r="Z179" s="17" t="str">
        <f t="shared" si="6"/>
        <v/>
      </c>
    </row>
    <row r="180" ht="25.5" customHeight="1">
      <c r="D180" s="9" t="str">
        <f t="shared" si="1"/>
        <v/>
      </c>
      <c r="E180" s="10"/>
      <c r="F180" s="10"/>
      <c r="G180" s="11"/>
      <c r="H180" s="11"/>
      <c r="I180" s="11"/>
      <c r="J180" s="11"/>
      <c r="K180" s="12"/>
      <c r="L180" s="12"/>
      <c r="M180" s="13"/>
      <c r="N180" s="14" t="str">
        <f t="shared" si="2"/>
        <v>—</v>
      </c>
      <c r="O180" s="15" t="str">
        <f t="shared" si="3"/>
        <v>—</v>
      </c>
      <c r="Y180" s="16">
        <f t="shared" si="5"/>
        <v>179</v>
      </c>
      <c r="Z180" s="17" t="str">
        <f t="shared" si="6"/>
        <v/>
      </c>
    </row>
    <row r="181" ht="25.5" customHeight="1">
      <c r="D181" s="18" t="str">
        <f t="shared" si="1"/>
        <v/>
      </c>
      <c r="E181" s="19"/>
      <c r="F181" s="19"/>
      <c r="G181" s="20"/>
      <c r="H181" s="20"/>
      <c r="I181" s="20"/>
      <c r="J181" s="20"/>
      <c r="K181" s="21"/>
      <c r="L181" s="21"/>
      <c r="M181" s="22"/>
      <c r="N181" s="23" t="str">
        <f t="shared" si="2"/>
        <v>—</v>
      </c>
      <c r="O181" s="24" t="str">
        <f t="shared" si="3"/>
        <v>—</v>
      </c>
      <c r="Y181" s="16">
        <f t="shared" si="5"/>
        <v>180</v>
      </c>
      <c r="Z181" s="17" t="str">
        <f t="shared" si="6"/>
        <v/>
      </c>
    </row>
    <row r="182" ht="25.5" customHeight="1">
      <c r="D182" s="9" t="str">
        <f t="shared" si="1"/>
        <v/>
      </c>
      <c r="E182" s="10"/>
      <c r="F182" s="10"/>
      <c r="G182" s="11"/>
      <c r="H182" s="11"/>
      <c r="I182" s="11"/>
      <c r="J182" s="11"/>
      <c r="K182" s="12"/>
      <c r="L182" s="12"/>
      <c r="M182" s="13"/>
      <c r="N182" s="14" t="str">
        <f t="shared" si="2"/>
        <v>—</v>
      </c>
      <c r="O182" s="15" t="str">
        <f t="shared" si="3"/>
        <v>—</v>
      </c>
      <c r="Y182" s="16">
        <f t="shared" si="5"/>
        <v>181</v>
      </c>
      <c r="Z182" s="17" t="str">
        <f t="shared" si="6"/>
        <v/>
      </c>
    </row>
    <row r="183" ht="25.5" customHeight="1">
      <c r="D183" s="18" t="str">
        <f t="shared" si="1"/>
        <v/>
      </c>
      <c r="E183" s="19"/>
      <c r="F183" s="19"/>
      <c r="G183" s="20"/>
      <c r="H183" s="20"/>
      <c r="I183" s="20"/>
      <c r="J183" s="20"/>
      <c r="K183" s="21"/>
      <c r="L183" s="21"/>
      <c r="M183" s="22"/>
      <c r="N183" s="23" t="str">
        <f t="shared" si="2"/>
        <v>—</v>
      </c>
      <c r="O183" s="24" t="str">
        <f t="shared" si="3"/>
        <v>—</v>
      </c>
      <c r="Y183" s="16">
        <f t="shared" si="5"/>
        <v>182</v>
      </c>
      <c r="Z183" s="17" t="str">
        <f t="shared" si="6"/>
        <v/>
      </c>
    </row>
    <row r="184" ht="25.5" customHeight="1">
      <c r="D184" s="9" t="str">
        <f t="shared" si="1"/>
        <v/>
      </c>
      <c r="E184" s="10"/>
      <c r="F184" s="10"/>
      <c r="G184" s="11"/>
      <c r="H184" s="11"/>
      <c r="I184" s="11"/>
      <c r="J184" s="11"/>
      <c r="K184" s="12"/>
      <c r="L184" s="12"/>
      <c r="M184" s="13"/>
      <c r="N184" s="14" t="str">
        <f t="shared" si="2"/>
        <v>—</v>
      </c>
      <c r="O184" s="15" t="str">
        <f t="shared" si="3"/>
        <v>—</v>
      </c>
      <c r="Y184" s="16">
        <f t="shared" si="5"/>
        <v>183</v>
      </c>
      <c r="Z184" s="17" t="str">
        <f t="shared" si="6"/>
        <v/>
      </c>
    </row>
    <row r="185" ht="25.5" customHeight="1">
      <c r="D185" s="18" t="str">
        <f t="shared" si="1"/>
        <v/>
      </c>
      <c r="E185" s="19"/>
      <c r="F185" s="19"/>
      <c r="G185" s="20"/>
      <c r="H185" s="20"/>
      <c r="I185" s="20"/>
      <c r="J185" s="20"/>
      <c r="K185" s="21"/>
      <c r="L185" s="21"/>
      <c r="M185" s="22"/>
      <c r="N185" s="23" t="str">
        <f t="shared" si="2"/>
        <v>—</v>
      </c>
      <c r="O185" s="24" t="str">
        <f t="shared" si="3"/>
        <v>—</v>
      </c>
      <c r="Y185" s="16">
        <f t="shared" si="5"/>
        <v>184</v>
      </c>
      <c r="Z185" s="17" t="str">
        <f t="shared" si="6"/>
        <v/>
      </c>
    </row>
    <row r="186" ht="25.5" customHeight="1">
      <c r="D186" s="9" t="str">
        <f t="shared" si="1"/>
        <v/>
      </c>
      <c r="E186" s="10"/>
      <c r="F186" s="10"/>
      <c r="G186" s="11"/>
      <c r="H186" s="11"/>
      <c r="I186" s="11"/>
      <c r="J186" s="11"/>
      <c r="K186" s="12"/>
      <c r="L186" s="12"/>
      <c r="M186" s="13"/>
      <c r="N186" s="14" t="str">
        <f t="shared" si="2"/>
        <v>—</v>
      </c>
      <c r="O186" s="15" t="str">
        <f t="shared" si="3"/>
        <v>—</v>
      </c>
      <c r="Y186" s="16">
        <f t="shared" si="5"/>
        <v>185</v>
      </c>
      <c r="Z186" s="17" t="str">
        <f t="shared" si="6"/>
        <v/>
      </c>
    </row>
    <row r="187" ht="25.5" customHeight="1">
      <c r="D187" s="18" t="str">
        <f t="shared" si="1"/>
        <v/>
      </c>
      <c r="E187" s="19"/>
      <c r="F187" s="19"/>
      <c r="G187" s="20"/>
      <c r="H187" s="20"/>
      <c r="I187" s="20"/>
      <c r="J187" s="20"/>
      <c r="K187" s="21"/>
      <c r="L187" s="21"/>
      <c r="M187" s="22"/>
      <c r="N187" s="23" t="str">
        <f t="shared" si="2"/>
        <v>—</v>
      </c>
      <c r="O187" s="24" t="str">
        <f t="shared" si="3"/>
        <v>—</v>
      </c>
      <c r="Y187" s="16">
        <f t="shared" si="5"/>
        <v>186</v>
      </c>
      <c r="Z187" s="17" t="str">
        <f t="shared" si="6"/>
        <v/>
      </c>
    </row>
    <row r="188" ht="25.5" customHeight="1">
      <c r="D188" s="9" t="str">
        <f t="shared" si="1"/>
        <v/>
      </c>
      <c r="E188" s="10"/>
      <c r="F188" s="10"/>
      <c r="G188" s="11"/>
      <c r="H188" s="11"/>
      <c r="I188" s="11"/>
      <c r="J188" s="11"/>
      <c r="K188" s="12"/>
      <c r="L188" s="12"/>
      <c r="M188" s="13"/>
      <c r="N188" s="14" t="str">
        <f t="shared" si="2"/>
        <v>—</v>
      </c>
      <c r="O188" s="15" t="str">
        <f t="shared" si="3"/>
        <v>—</v>
      </c>
      <c r="Y188" s="16">
        <f t="shared" si="5"/>
        <v>187</v>
      </c>
      <c r="Z188" s="17" t="str">
        <f t="shared" si="6"/>
        <v/>
      </c>
    </row>
    <row r="189" ht="25.5" customHeight="1">
      <c r="D189" s="18" t="str">
        <f t="shared" si="1"/>
        <v/>
      </c>
      <c r="E189" s="19"/>
      <c r="F189" s="19"/>
      <c r="G189" s="20"/>
      <c r="H189" s="20"/>
      <c r="I189" s="20"/>
      <c r="J189" s="20"/>
      <c r="K189" s="21"/>
      <c r="L189" s="21"/>
      <c r="M189" s="22"/>
      <c r="N189" s="23" t="str">
        <f t="shared" si="2"/>
        <v>—</v>
      </c>
      <c r="O189" s="24" t="str">
        <f t="shared" si="3"/>
        <v>—</v>
      </c>
      <c r="Y189" s="16">
        <f t="shared" si="5"/>
        <v>188</v>
      </c>
      <c r="Z189" s="17" t="str">
        <f t="shared" si="6"/>
        <v/>
      </c>
    </row>
    <row r="190" ht="25.5" customHeight="1">
      <c r="D190" s="9" t="str">
        <f t="shared" si="1"/>
        <v/>
      </c>
      <c r="E190" s="10"/>
      <c r="F190" s="10"/>
      <c r="G190" s="11"/>
      <c r="H190" s="11"/>
      <c r="I190" s="11"/>
      <c r="J190" s="11"/>
      <c r="K190" s="12"/>
      <c r="L190" s="12"/>
      <c r="M190" s="13"/>
      <c r="N190" s="14" t="str">
        <f t="shared" si="2"/>
        <v>—</v>
      </c>
      <c r="O190" s="15" t="str">
        <f t="shared" si="3"/>
        <v>—</v>
      </c>
      <c r="Y190" s="16">
        <f t="shared" si="5"/>
        <v>189</v>
      </c>
      <c r="Z190" s="17" t="str">
        <f t="shared" si="6"/>
        <v/>
      </c>
    </row>
    <row r="191" ht="25.5" customHeight="1">
      <c r="D191" s="18" t="str">
        <f t="shared" si="1"/>
        <v/>
      </c>
      <c r="E191" s="19"/>
      <c r="F191" s="19"/>
      <c r="G191" s="20"/>
      <c r="H191" s="20"/>
      <c r="I191" s="20"/>
      <c r="J191" s="20"/>
      <c r="K191" s="21"/>
      <c r="L191" s="21"/>
      <c r="M191" s="22"/>
      <c r="N191" s="23" t="str">
        <f t="shared" si="2"/>
        <v>—</v>
      </c>
      <c r="O191" s="24" t="str">
        <f t="shared" si="3"/>
        <v>—</v>
      </c>
      <c r="Y191" s="16">
        <f t="shared" si="5"/>
        <v>190</v>
      </c>
      <c r="Z191" s="17" t="str">
        <f t="shared" si="6"/>
        <v/>
      </c>
    </row>
    <row r="192" ht="25.5" customHeight="1">
      <c r="D192" s="9" t="str">
        <f t="shared" si="1"/>
        <v/>
      </c>
      <c r="E192" s="10"/>
      <c r="F192" s="10"/>
      <c r="G192" s="11"/>
      <c r="H192" s="11"/>
      <c r="I192" s="11"/>
      <c r="J192" s="11"/>
      <c r="K192" s="12"/>
      <c r="L192" s="12"/>
      <c r="M192" s="13"/>
      <c r="N192" s="14" t="str">
        <f t="shared" si="2"/>
        <v>—</v>
      </c>
      <c r="O192" s="15" t="str">
        <f t="shared" si="3"/>
        <v>—</v>
      </c>
      <c r="Y192" s="16">
        <f t="shared" si="5"/>
        <v>191</v>
      </c>
      <c r="Z192" s="17" t="str">
        <f t="shared" si="6"/>
        <v/>
      </c>
    </row>
    <row r="193" ht="25.5" customHeight="1">
      <c r="D193" s="18" t="str">
        <f t="shared" si="1"/>
        <v/>
      </c>
      <c r="E193" s="19"/>
      <c r="F193" s="19"/>
      <c r="G193" s="20"/>
      <c r="H193" s="20"/>
      <c r="I193" s="20"/>
      <c r="J193" s="20"/>
      <c r="K193" s="21"/>
      <c r="L193" s="21"/>
      <c r="M193" s="22"/>
      <c r="N193" s="23" t="str">
        <f t="shared" si="2"/>
        <v>—</v>
      </c>
      <c r="O193" s="24" t="str">
        <f t="shared" si="3"/>
        <v>—</v>
      </c>
      <c r="Y193" s="16">
        <f t="shared" si="5"/>
        <v>192</v>
      </c>
      <c r="Z193" s="17" t="str">
        <f t="shared" si="6"/>
        <v/>
      </c>
    </row>
    <row r="194" ht="25.5" customHeight="1">
      <c r="D194" s="9" t="str">
        <f t="shared" si="1"/>
        <v/>
      </c>
      <c r="E194" s="10"/>
      <c r="F194" s="10"/>
      <c r="G194" s="11"/>
      <c r="H194" s="11"/>
      <c r="I194" s="11"/>
      <c r="J194" s="11"/>
      <c r="K194" s="12"/>
      <c r="L194" s="12"/>
      <c r="M194" s="13"/>
      <c r="N194" s="14" t="str">
        <f t="shared" si="2"/>
        <v>—</v>
      </c>
      <c r="O194" s="15" t="str">
        <f t="shared" si="3"/>
        <v>—</v>
      </c>
      <c r="Y194" s="16">
        <f t="shared" si="5"/>
        <v>193</v>
      </c>
      <c r="Z194" s="17" t="str">
        <f t="shared" si="6"/>
        <v/>
      </c>
    </row>
    <row r="195" ht="25.5" customHeight="1">
      <c r="D195" s="18" t="str">
        <f t="shared" si="1"/>
        <v/>
      </c>
      <c r="E195" s="19"/>
      <c r="F195" s="19"/>
      <c r="G195" s="20"/>
      <c r="H195" s="20"/>
      <c r="I195" s="20"/>
      <c r="J195" s="20"/>
      <c r="K195" s="21"/>
      <c r="L195" s="21"/>
      <c r="M195" s="22"/>
      <c r="N195" s="23" t="str">
        <f t="shared" si="2"/>
        <v>—</v>
      </c>
      <c r="O195" s="24" t="str">
        <f t="shared" si="3"/>
        <v>—</v>
      </c>
      <c r="Y195" s="16">
        <f t="shared" si="5"/>
        <v>194</v>
      </c>
      <c r="Z195" s="17" t="str">
        <f t="shared" si="6"/>
        <v/>
      </c>
    </row>
    <row r="196" ht="25.5" customHeight="1">
      <c r="D196" s="9" t="str">
        <f t="shared" si="1"/>
        <v/>
      </c>
      <c r="E196" s="10"/>
      <c r="F196" s="10"/>
      <c r="G196" s="11"/>
      <c r="H196" s="11"/>
      <c r="I196" s="11"/>
      <c r="J196" s="11"/>
      <c r="K196" s="12"/>
      <c r="L196" s="12"/>
      <c r="M196" s="13"/>
      <c r="N196" s="14" t="str">
        <f t="shared" si="2"/>
        <v>—</v>
      </c>
      <c r="O196" s="15" t="str">
        <f t="shared" si="3"/>
        <v>—</v>
      </c>
      <c r="Y196" s="16">
        <f t="shared" si="5"/>
        <v>195</v>
      </c>
      <c r="Z196" s="17" t="str">
        <f t="shared" si="6"/>
        <v/>
      </c>
    </row>
    <row r="197" ht="25.5" customHeight="1">
      <c r="D197" s="18" t="str">
        <f t="shared" si="1"/>
        <v/>
      </c>
      <c r="E197" s="19"/>
      <c r="F197" s="19"/>
      <c r="G197" s="20"/>
      <c r="H197" s="20"/>
      <c r="I197" s="20"/>
      <c r="J197" s="20"/>
      <c r="K197" s="21"/>
      <c r="L197" s="21"/>
      <c r="M197" s="22"/>
      <c r="N197" s="23" t="str">
        <f t="shared" si="2"/>
        <v>—</v>
      </c>
      <c r="O197" s="24" t="str">
        <f t="shared" si="3"/>
        <v>—</v>
      </c>
      <c r="Y197" s="16">
        <f t="shared" si="5"/>
        <v>196</v>
      </c>
      <c r="Z197" s="17" t="str">
        <f t="shared" si="6"/>
        <v/>
      </c>
    </row>
    <row r="198" ht="25.5" customHeight="1">
      <c r="D198" s="9" t="str">
        <f t="shared" si="1"/>
        <v/>
      </c>
      <c r="E198" s="10"/>
      <c r="F198" s="10"/>
      <c r="G198" s="11"/>
      <c r="H198" s="11"/>
      <c r="I198" s="11"/>
      <c r="J198" s="11"/>
      <c r="K198" s="12"/>
      <c r="L198" s="12"/>
      <c r="M198" s="13"/>
      <c r="N198" s="14" t="str">
        <f t="shared" si="2"/>
        <v>—</v>
      </c>
      <c r="O198" s="15" t="str">
        <f t="shared" si="3"/>
        <v>—</v>
      </c>
      <c r="Y198" s="16">
        <f t="shared" si="5"/>
        <v>197</v>
      </c>
      <c r="Z198" s="17" t="str">
        <f t="shared" si="6"/>
        <v/>
      </c>
    </row>
    <row r="199" ht="25.5" customHeight="1">
      <c r="D199" s="18" t="str">
        <f t="shared" si="1"/>
        <v/>
      </c>
      <c r="E199" s="19"/>
      <c r="F199" s="19"/>
      <c r="G199" s="20"/>
      <c r="H199" s="20"/>
      <c r="I199" s="20"/>
      <c r="J199" s="20"/>
      <c r="K199" s="21"/>
      <c r="L199" s="21"/>
      <c r="M199" s="22"/>
      <c r="N199" s="23" t="str">
        <f t="shared" si="2"/>
        <v>—</v>
      </c>
      <c r="O199" s="24" t="str">
        <f t="shared" si="3"/>
        <v>—</v>
      </c>
      <c r="Y199" s="16">
        <f t="shared" si="5"/>
        <v>198</v>
      </c>
      <c r="Z199" s="17" t="str">
        <f t="shared" si="6"/>
        <v/>
      </c>
    </row>
    <row r="200" ht="25.5" customHeight="1">
      <c r="D200" s="9" t="str">
        <f t="shared" si="1"/>
        <v/>
      </c>
      <c r="E200" s="10"/>
      <c r="F200" s="10"/>
      <c r="G200" s="11"/>
      <c r="H200" s="11"/>
      <c r="I200" s="11"/>
      <c r="J200" s="11"/>
      <c r="K200" s="12"/>
      <c r="L200" s="12"/>
      <c r="M200" s="13"/>
      <c r="N200" s="14" t="str">
        <f t="shared" si="2"/>
        <v>—</v>
      </c>
      <c r="O200" s="15" t="str">
        <f t="shared" si="3"/>
        <v>—</v>
      </c>
      <c r="Y200" s="16">
        <f t="shared" si="5"/>
        <v>199</v>
      </c>
      <c r="Z200" s="17" t="str">
        <f t="shared" si="6"/>
        <v/>
      </c>
    </row>
    <row r="201" ht="25.5" customHeight="1">
      <c r="D201" s="18" t="str">
        <f t="shared" si="1"/>
        <v/>
      </c>
      <c r="E201" s="19"/>
      <c r="F201" s="19"/>
      <c r="G201" s="20"/>
      <c r="H201" s="20"/>
      <c r="I201" s="20"/>
      <c r="J201" s="20"/>
      <c r="K201" s="21"/>
      <c r="L201" s="21"/>
      <c r="M201" s="22"/>
      <c r="N201" s="23" t="str">
        <f t="shared" si="2"/>
        <v>—</v>
      </c>
      <c r="O201" s="24" t="str">
        <f t="shared" si="3"/>
        <v>—</v>
      </c>
      <c r="Y201" s="16">
        <f t="shared" si="5"/>
        <v>200</v>
      </c>
      <c r="Z201" s="17" t="str">
        <f t="shared" si="6"/>
        <v/>
      </c>
    </row>
    <row r="202" ht="25.5" customHeight="1">
      <c r="D202" s="9" t="str">
        <f t="shared" si="1"/>
        <v/>
      </c>
      <c r="E202" s="10"/>
      <c r="F202" s="10"/>
      <c r="G202" s="11"/>
      <c r="H202" s="11"/>
      <c r="I202" s="11"/>
      <c r="J202" s="11"/>
      <c r="K202" s="12"/>
      <c r="L202" s="12"/>
      <c r="M202" s="13"/>
      <c r="N202" s="14" t="str">
        <f t="shared" si="2"/>
        <v>—</v>
      </c>
      <c r="O202" s="15" t="str">
        <f t="shared" si="3"/>
        <v>—</v>
      </c>
      <c r="Y202" s="16">
        <f t="shared" si="5"/>
        <v>201</v>
      </c>
      <c r="Z202" s="17" t="str">
        <f t="shared" si="6"/>
        <v/>
      </c>
    </row>
    <row r="203" ht="25.5" customHeight="1">
      <c r="D203" s="18" t="str">
        <f t="shared" si="1"/>
        <v/>
      </c>
      <c r="E203" s="19"/>
      <c r="F203" s="19"/>
      <c r="G203" s="20"/>
      <c r="H203" s="20"/>
      <c r="I203" s="20"/>
      <c r="J203" s="20"/>
      <c r="K203" s="21"/>
      <c r="L203" s="21"/>
      <c r="M203" s="22"/>
      <c r="N203" s="23" t="str">
        <f t="shared" si="2"/>
        <v>—</v>
      </c>
      <c r="O203" s="24" t="str">
        <f t="shared" si="3"/>
        <v>—</v>
      </c>
      <c r="Y203" s="16">
        <f t="shared" si="5"/>
        <v>202</v>
      </c>
      <c r="Z203" s="17" t="str">
        <f t="shared" si="6"/>
        <v/>
      </c>
    </row>
    <row r="204" ht="25.5" customHeight="1">
      <c r="D204" s="9" t="str">
        <f t="shared" si="1"/>
        <v/>
      </c>
      <c r="E204" s="10"/>
      <c r="F204" s="10"/>
      <c r="G204" s="11"/>
      <c r="H204" s="11"/>
      <c r="I204" s="11"/>
      <c r="J204" s="11"/>
      <c r="K204" s="12"/>
      <c r="L204" s="12"/>
      <c r="M204" s="13"/>
      <c r="N204" s="14" t="str">
        <f t="shared" si="2"/>
        <v>—</v>
      </c>
      <c r="O204" s="15" t="str">
        <f t="shared" si="3"/>
        <v>—</v>
      </c>
      <c r="Y204" s="16">
        <f t="shared" si="5"/>
        <v>203</v>
      </c>
      <c r="Z204" s="17" t="str">
        <f t="shared" si="6"/>
        <v/>
      </c>
    </row>
    <row r="205" ht="25.5" customHeight="1">
      <c r="D205" s="18" t="str">
        <f t="shared" si="1"/>
        <v/>
      </c>
      <c r="E205" s="19"/>
      <c r="F205" s="19"/>
      <c r="G205" s="20"/>
      <c r="H205" s="20"/>
      <c r="I205" s="20"/>
      <c r="J205" s="20"/>
      <c r="K205" s="21"/>
      <c r="L205" s="21"/>
      <c r="M205" s="22"/>
      <c r="N205" s="23" t="str">
        <f t="shared" si="2"/>
        <v>—</v>
      </c>
      <c r="O205" s="24" t="str">
        <f t="shared" si="3"/>
        <v>—</v>
      </c>
      <c r="Y205" s="16">
        <f t="shared" si="5"/>
        <v>204</v>
      </c>
      <c r="Z205" s="17" t="str">
        <f t="shared" si="6"/>
        <v/>
      </c>
    </row>
    <row r="206" ht="25.5" customHeight="1">
      <c r="D206" s="9" t="str">
        <f t="shared" si="1"/>
        <v/>
      </c>
      <c r="E206" s="10"/>
      <c r="F206" s="10"/>
      <c r="G206" s="11"/>
      <c r="H206" s="11"/>
      <c r="I206" s="11"/>
      <c r="J206" s="11"/>
      <c r="K206" s="12"/>
      <c r="L206" s="12"/>
      <c r="M206" s="13"/>
      <c r="N206" s="14" t="str">
        <f t="shared" si="2"/>
        <v>—</v>
      </c>
      <c r="O206" s="15" t="str">
        <f t="shared" si="3"/>
        <v>—</v>
      </c>
      <c r="Y206" s="16">
        <f t="shared" si="5"/>
        <v>205</v>
      </c>
      <c r="Z206" s="17" t="str">
        <f t="shared" si="6"/>
        <v/>
      </c>
    </row>
    <row r="207" ht="25.5" customHeight="1">
      <c r="D207" s="18" t="str">
        <f t="shared" si="1"/>
        <v/>
      </c>
      <c r="E207" s="19"/>
      <c r="F207" s="19"/>
      <c r="G207" s="20"/>
      <c r="H207" s="20"/>
      <c r="I207" s="20"/>
      <c r="J207" s="20"/>
      <c r="K207" s="21"/>
      <c r="L207" s="21"/>
      <c r="M207" s="22"/>
      <c r="N207" s="23" t="str">
        <f t="shared" si="2"/>
        <v>—</v>
      </c>
      <c r="O207" s="24" t="str">
        <f t="shared" si="3"/>
        <v>—</v>
      </c>
      <c r="Y207" s="16">
        <f t="shared" si="5"/>
        <v>206</v>
      </c>
      <c r="Z207" s="17" t="str">
        <f t="shared" si="6"/>
        <v/>
      </c>
    </row>
    <row r="208" ht="25.5" customHeight="1">
      <c r="D208" s="9" t="str">
        <f t="shared" si="1"/>
        <v/>
      </c>
      <c r="E208" s="10"/>
      <c r="F208" s="10"/>
      <c r="G208" s="11"/>
      <c r="H208" s="11"/>
      <c r="I208" s="11"/>
      <c r="J208" s="11"/>
      <c r="K208" s="12"/>
      <c r="L208" s="12"/>
      <c r="M208" s="13"/>
      <c r="N208" s="14" t="str">
        <f t="shared" si="2"/>
        <v>—</v>
      </c>
      <c r="O208" s="15" t="str">
        <f t="shared" si="3"/>
        <v>—</v>
      </c>
      <c r="Y208" s="16">
        <f t="shared" si="5"/>
        <v>207</v>
      </c>
      <c r="Z208" s="17" t="str">
        <f t="shared" si="6"/>
        <v/>
      </c>
    </row>
    <row r="209" ht="25.5" customHeight="1">
      <c r="D209" s="18" t="str">
        <f t="shared" si="1"/>
        <v/>
      </c>
      <c r="E209" s="19"/>
      <c r="F209" s="19"/>
      <c r="G209" s="20"/>
      <c r="H209" s="20"/>
      <c r="I209" s="20"/>
      <c r="J209" s="20"/>
      <c r="K209" s="21"/>
      <c r="L209" s="21"/>
      <c r="M209" s="22"/>
      <c r="N209" s="23" t="str">
        <f t="shared" si="2"/>
        <v>—</v>
      </c>
      <c r="O209" s="24" t="str">
        <f t="shared" si="3"/>
        <v>—</v>
      </c>
      <c r="Y209" s="16">
        <f t="shared" si="5"/>
        <v>208</v>
      </c>
      <c r="Z209" s="17" t="str">
        <f t="shared" si="6"/>
        <v/>
      </c>
    </row>
    <row r="210" ht="25.5" customHeight="1">
      <c r="D210" s="9" t="str">
        <f t="shared" si="1"/>
        <v/>
      </c>
      <c r="E210" s="10"/>
      <c r="F210" s="10"/>
      <c r="G210" s="11"/>
      <c r="H210" s="11"/>
      <c r="I210" s="11"/>
      <c r="J210" s="11"/>
      <c r="K210" s="12"/>
      <c r="L210" s="12"/>
      <c r="M210" s="13"/>
      <c r="N210" s="14" t="str">
        <f t="shared" si="2"/>
        <v>—</v>
      </c>
      <c r="O210" s="15" t="str">
        <f t="shared" si="3"/>
        <v>—</v>
      </c>
      <c r="Y210" s="16">
        <f t="shared" si="5"/>
        <v>209</v>
      </c>
      <c r="Z210" s="17" t="str">
        <f t="shared" si="6"/>
        <v/>
      </c>
    </row>
    <row r="211" ht="25.5" customHeight="1">
      <c r="D211" s="18" t="str">
        <f t="shared" si="1"/>
        <v/>
      </c>
      <c r="E211" s="19"/>
      <c r="F211" s="19"/>
      <c r="G211" s="20"/>
      <c r="H211" s="20"/>
      <c r="I211" s="20"/>
      <c r="J211" s="20"/>
      <c r="K211" s="21"/>
      <c r="L211" s="21"/>
      <c r="M211" s="22"/>
      <c r="N211" s="23" t="str">
        <f t="shared" si="2"/>
        <v>—</v>
      </c>
      <c r="O211" s="24" t="str">
        <f t="shared" si="3"/>
        <v>—</v>
      </c>
      <c r="Y211" s="16">
        <f t="shared" si="5"/>
        <v>210</v>
      </c>
      <c r="Z211" s="17" t="str">
        <f t="shared" si="6"/>
        <v/>
      </c>
    </row>
    <row r="212" ht="25.5" customHeight="1">
      <c r="D212" s="9" t="str">
        <f t="shared" si="1"/>
        <v/>
      </c>
      <c r="E212" s="10"/>
      <c r="F212" s="10"/>
      <c r="G212" s="11"/>
      <c r="H212" s="11"/>
      <c r="I212" s="11"/>
      <c r="J212" s="11"/>
      <c r="K212" s="12"/>
      <c r="L212" s="12"/>
      <c r="M212" s="13"/>
      <c r="N212" s="14" t="str">
        <f t="shared" si="2"/>
        <v>—</v>
      </c>
      <c r="O212" s="15" t="str">
        <f t="shared" si="3"/>
        <v>—</v>
      </c>
      <c r="Y212" s="16">
        <f t="shared" si="5"/>
        <v>211</v>
      </c>
      <c r="Z212" s="17" t="str">
        <f t="shared" si="6"/>
        <v/>
      </c>
    </row>
    <row r="213" ht="25.5" customHeight="1">
      <c r="D213" s="18" t="str">
        <f t="shared" si="1"/>
        <v/>
      </c>
      <c r="E213" s="19"/>
      <c r="F213" s="19"/>
      <c r="G213" s="20"/>
      <c r="H213" s="20"/>
      <c r="I213" s="20"/>
      <c r="J213" s="20"/>
      <c r="K213" s="21"/>
      <c r="L213" s="21"/>
      <c r="M213" s="22"/>
      <c r="N213" s="23" t="str">
        <f t="shared" si="2"/>
        <v>—</v>
      </c>
      <c r="O213" s="24" t="str">
        <f t="shared" si="3"/>
        <v>—</v>
      </c>
      <c r="Y213" s="16">
        <f t="shared" si="5"/>
        <v>212</v>
      </c>
      <c r="Z213" s="17" t="str">
        <f t="shared" si="6"/>
        <v/>
      </c>
    </row>
    <row r="214" ht="25.5" customHeight="1">
      <c r="D214" s="9" t="str">
        <f t="shared" si="1"/>
        <v/>
      </c>
      <c r="E214" s="10"/>
      <c r="F214" s="10"/>
      <c r="G214" s="11"/>
      <c r="H214" s="11"/>
      <c r="I214" s="11"/>
      <c r="J214" s="11"/>
      <c r="K214" s="12"/>
      <c r="L214" s="12"/>
      <c r="M214" s="13"/>
      <c r="N214" s="14" t="str">
        <f t="shared" si="2"/>
        <v>—</v>
      </c>
      <c r="O214" s="15" t="str">
        <f t="shared" si="3"/>
        <v>—</v>
      </c>
      <c r="Y214" s="16">
        <f t="shared" si="5"/>
        <v>213</v>
      </c>
      <c r="Z214" s="17" t="str">
        <f t="shared" si="6"/>
        <v/>
      </c>
    </row>
    <row r="215" ht="25.5" customHeight="1">
      <c r="D215" s="18" t="str">
        <f t="shared" si="1"/>
        <v/>
      </c>
      <c r="E215" s="19"/>
      <c r="F215" s="19"/>
      <c r="G215" s="20"/>
      <c r="H215" s="20"/>
      <c r="I215" s="20"/>
      <c r="J215" s="20"/>
      <c r="K215" s="21"/>
      <c r="L215" s="21"/>
      <c r="M215" s="22"/>
      <c r="N215" s="23" t="str">
        <f t="shared" si="2"/>
        <v>—</v>
      </c>
      <c r="O215" s="24" t="str">
        <f t="shared" si="3"/>
        <v>—</v>
      </c>
      <c r="Y215" s="16">
        <f t="shared" si="5"/>
        <v>214</v>
      </c>
      <c r="Z215" s="17" t="str">
        <f t="shared" si="6"/>
        <v/>
      </c>
    </row>
    <row r="216" ht="25.5" customHeight="1">
      <c r="D216" s="9" t="str">
        <f t="shared" si="1"/>
        <v/>
      </c>
      <c r="E216" s="10"/>
      <c r="F216" s="10"/>
      <c r="G216" s="11"/>
      <c r="H216" s="11"/>
      <c r="I216" s="11"/>
      <c r="J216" s="11"/>
      <c r="K216" s="12"/>
      <c r="L216" s="12"/>
      <c r="M216" s="13"/>
      <c r="N216" s="14" t="str">
        <f t="shared" si="2"/>
        <v>—</v>
      </c>
      <c r="O216" s="15" t="str">
        <f t="shared" si="3"/>
        <v>—</v>
      </c>
      <c r="Y216" s="16">
        <f t="shared" si="5"/>
        <v>215</v>
      </c>
      <c r="Z216" s="17" t="str">
        <f t="shared" si="6"/>
        <v/>
      </c>
    </row>
    <row r="217" ht="25.5" customHeight="1">
      <c r="D217" s="18" t="str">
        <f t="shared" si="1"/>
        <v/>
      </c>
      <c r="E217" s="19"/>
      <c r="F217" s="19"/>
      <c r="G217" s="20"/>
      <c r="H217" s="20"/>
      <c r="I217" s="20"/>
      <c r="J217" s="20"/>
      <c r="K217" s="21"/>
      <c r="L217" s="21"/>
      <c r="M217" s="22"/>
      <c r="N217" s="23" t="str">
        <f t="shared" si="2"/>
        <v>—</v>
      </c>
      <c r="O217" s="24" t="str">
        <f t="shared" si="3"/>
        <v>—</v>
      </c>
      <c r="Y217" s="16">
        <f t="shared" si="5"/>
        <v>216</v>
      </c>
      <c r="Z217" s="17" t="str">
        <f t="shared" si="6"/>
        <v/>
      </c>
    </row>
    <row r="218" ht="25.5" customHeight="1">
      <c r="D218" s="9" t="str">
        <f t="shared" si="1"/>
        <v/>
      </c>
      <c r="E218" s="10"/>
      <c r="F218" s="10"/>
      <c r="G218" s="11"/>
      <c r="H218" s="11"/>
      <c r="I218" s="11"/>
      <c r="J218" s="11"/>
      <c r="K218" s="12"/>
      <c r="L218" s="12"/>
      <c r="M218" s="13"/>
      <c r="N218" s="14" t="str">
        <f t="shared" si="2"/>
        <v>—</v>
      </c>
      <c r="O218" s="15" t="str">
        <f t="shared" si="3"/>
        <v>—</v>
      </c>
      <c r="Y218" s="16">
        <f t="shared" si="5"/>
        <v>217</v>
      </c>
      <c r="Z218" s="17" t="str">
        <f t="shared" si="6"/>
        <v/>
      </c>
    </row>
    <row r="219" ht="25.5" customHeight="1">
      <c r="D219" s="18" t="str">
        <f t="shared" si="1"/>
        <v/>
      </c>
      <c r="E219" s="19"/>
      <c r="F219" s="19"/>
      <c r="G219" s="20"/>
      <c r="H219" s="20"/>
      <c r="I219" s="20"/>
      <c r="J219" s="20"/>
      <c r="K219" s="21"/>
      <c r="L219" s="21"/>
      <c r="M219" s="22"/>
      <c r="N219" s="23" t="str">
        <f t="shared" si="2"/>
        <v>—</v>
      </c>
      <c r="O219" s="24" t="str">
        <f t="shared" si="3"/>
        <v>—</v>
      </c>
      <c r="Y219" s="16">
        <f t="shared" si="5"/>
        <v>218</v>
      </c>
      <c r="Z219" s="17" t="str">
        <f t="shared" si="6"/>
        <v/>
      </c>
    </row>
    <row r="220" ht="25.5" customHeight="1">
      <c r="D220" s="9" t="str">
        <f t="shared" si="1"/>
        <v/>
      </c>
      <c r="E220" s="10"/>
      <c r="F220" s="10"/>
      <c r="G220" s="11"/>
      <c r="H220" s="11"/>
      <c r="I220" s="11"/>
      <c r="J220" s="11"/>
      <c r="K220" s="12"/>
      <c r="L220" s="12"/>
      <c r="M220" s="13"/>
      <c r="N220" s="14" t="str">
        <f t="shared" si="2"/>
        <v>—</v>
      </c>
      <c r="O220" s="15" t="str">
        <f t="shared" si="3"/>
        <v>—</v>
      </c>
      <c r="Y220" s="16">
        <f t="shared" si="5"/>
        <v>219</v>
      </c>
      <c r="Z220" s="17" t="str">
        <f t="shared" si="6"/>
        <v/>
      </c>
    </row>
    <row r="221" ht="25.5" customHeight="1">
      <c r="D221" s="18" t="str">
        <f t="shared" si="1"/>
        <v/>
      </c>
      <c r="E221" s="19"/>
      <c r="F221" s="19"/>
      <c r="G221" s="20"/>
      <c r="H221" s="20"/>
      <c r="I221" s="20"/>
      <c r="J221" s="20"/>
      <c r="K221" s="21"/>
      <c r="L221" s="21"/>
      <c r="M221" s="22"/>
      <c r="N221" s="23" t="str">
        <f t="shared" si="2"/>
        <v>—</v>
      </c>
      <c r="O221" s="24" t="str">
        <f t="shared" si="3"/>
        <v>—</v>
      </c>
      <c r="Y221" s="16">
        <f t="shared" si="5"/>
        <v>220</v>
      </c>
      <c r="Z221" s="17" t="str">
        <f t="shared" si="6"/>
        <v/>
      </c>
    </row>
    <row r="222" ht="25.5" customHeight="1">
      <c r="D222" s="9" t="str">
        <f t="shared" si="1"/>
        <v/>
      </c>
      <c r="E222" s="10"/>
      <c r="F222" s="10"/>
      <c r="G222" s="11"/>
      <c r="H222" s="11"/>
      <c r="I222" s="11"/>
      <c r="J222" s="11"/>
      <c r="K222" s="12"/>
      <c r="L222" s="12"/>
      <c r="M222" s="13"/>
      <c r="N222" s="14" t="str">
        <f t="shared" si="2"/>
        <v>—</v>
      </c>
      <c r="O222" s="15" t="str">
        <f t="shared" si="3"/>
        <v>—</v>
      </c>
      <c r="Y222" s="16">
        <f t="shared" si="5"/>
        <v>221</v>
      </c>
      <c r="Z222" s="17" t="str">
        <f t="shared" si="6"/>
        <v/>
      </c>
    </row>
    <row r="223" ht="25.5" customHeight="1">
      <c r="D223" s="18" t="str">
        <f t="shared" si="1"/>
        <v/>
      </c>
      <c r="E223" s="19"/>
      <c r="F223" s="19"/>
      <c r="G223" s="20"/>
      <c r="H223" s="20"/>
      <c r="I223" s="20"/>
      <c r="J223" s="20"/>
      <c r="K223" s="21"/>
      <c r="L223" s="21"/>
      <c r="M223" s="22"/>
      <c r="N223" s="23" t="str">
        <f t="shared" si="2"/>
        <v>—</v>
      </c>
      <c r="O223" s="24" t="str">
        <f t="shared" si="3"/>
        <v>—</v>
      </c>
      <c r="Y223" s="16">
        <f t="shared" si="5"/>
        <v>222</v>
      </c>
      <c r="Z223" s="17" t="str">
        <f t="shared" si="6"/>
        <v/>
      </c>
    </row>
    <row r="224" ht="25.5" customHeight="1">
      <c r="D224" s="9" t="str">
        <f t="shared" si="1"/>
        <v/>
      </c>
      <c r="E224" s="10"/>
      <c r="F224" s="10"/>
      <c r="G224" s="11"/>
      <c r="H224" s="11"/>
      <c r="I224" s="11"/>
      <c r="J224" s="11"/>
      <c r="K224" s="12"/>
      <c r="L224" s="12"/>
      <c r="M224" s="13"/>
      <c r="N224" s="14" t="str">
        <f t="shared" si="2"/>
        <v>—</v>
      </c>
      <c r="O224" s="15" t="str">
        <f t="shared" si="3"/>
        <v>—</v>
      </c>
      <c r="Y224" s="16">
        <f t="shared" si="5"/>
        <v>223</v>
      </c>
      <c r="Z224" s="17" t="str">
        <f t="shared" si="6"/>
        <v/>
      </c>
    </row>
    <row r="225" ht="25.5" customHeight="1">
      <c r="D225" s="18" t="str">
        <f t="shared" si="1"/>
        <v/>
      </c>
      <c r="E225" s="19"/>
      <c r="F225" s="19"/>
      <c r="G225" s="20"/>
      <c r="H225" s="20"/>
      <c r="I225" s="20"/>
      <c r="J225" s="20"/>
      <c r="K225" s="21"/>
      <c r="L225" s="21"/>
      <c r="M225" s="22"/>
      <c r="N225" s="23" t="str">
        <f t="shared" si="2"/>
        <v>—</v>
      </c>
      <c r="O225" s="24" t="str">
        <f t="shared" si="3"/>
        <v>—</v>
      </c>
      <c r="Y225" s="16">
        <f t="shared" si="5"/>
        <v>224</v>
      </c>
      <c r="Z225" s="17" t="str">
        <f t="shared" si="6"/>
        <v/>
      </c>
    </row>
    <row r="226" ht="25.5" customHeight="1">
      <c r="D226" s="9" t="str">
        <f t="shared" si="1"/>
        <v/>
      </c>
      <c r="E226" s="10"/>
      <c r="F226" s="10"/>
      <c r="G226" s="11"/>
      <c r="H226" s="11"/>
      <c r="I226" s="11"/>
      <c r="J226" s="11"/>
      <c r="K226" s="12"/>
      <c r="L226" s="12"/>
      <c r="M226" s="13"/>
      <c r="N226" s="14" t="str">
        <f t="shared" si="2"/>
        <v>—</v>
      </c>
      <c r="O226" s="15" t="str">
        <f t="shared" si="3"/>
        <v>—</v>
      </c>
      <c r="Y226" s="16">
        <f t="shared" si="5"/>
        <v>225</v>
      </c>
      <c r="Z226" s="17" t="str">
        <f t="shared" si="6"/>
        <v/>
      </c>
    </row>
    <row r="227" ht="25.5" customHeight="1">
      <c r="D227" s="18" t="str">
        <f t="shared" si="1"/>
        <v/>
      </c>
      <c r="E227" s="19"/>
      <c r="F227" s="19"/>
      <c r="G227" s="20"/>
      <c r="H227" s="20"/>
      <c r="I227" s="20"/>
      <c r="J227" s="20"/>
      <c r="K227" s="21"/>
      <c r="L227" s="21"/>
      <c r="M227" s="22"/>
      <c r="N227" s="23" t="str">
        <f t="shared" si="2"/>
        <v>—</v>
      </c>
      <c r="O227" s="24" t="str">
        <f t="shared" si="3"/>
        <v>—</v>
      </c>
      <c r="Y227" s="16">
        <f t="shared" si="5"/>
        <v>226</v>
      </c>
      <c r="Z227" s="17" t="str">
        <f t="shared" si="6"/>
        <v/>
      </c>
    </row>
    <row r="228" ht="25.5" customHeight="1">
      <c r="D228" s="9" t="str">
        <f t="shared" si="1"/>
        <v/>
      </c>
      <c r="E228" s="10"/>
      <c r="F228" s="10"/>
      <c r="G228" s="11"/>
      <c r="H228" s="11"/>
      <c r="I228" s="11"/>
      <c r="J228" s="11"/>
      <c r="K228" s="12"/>
      <c r="L228" s="12"/>
      <c r="M228" s="13"/>
      <c r="N228" s="14" t="str">
        <f t="shared" si="2"/>
        <v>—</v>
      </c>
      <c r="O228" s="15" t="str">
        <f t="shared" si="3"/>
        <v>—</v>
      </c>
      <c r="Y228" s="16">
        <f t="shared" si="5"/>
        <v>227</v>
      </c>
      <c r="Z228" s="17" t="str">
        <f t="shared" si="6"/>
        <v/>
      </c>
    </row>
    <row r="229" ht="25.5" customHeight="1">
      <c r="D229" s="18" t="str">
        <f t="shared" si="1"/>
        <v/>
      </c>
      <c r="E229" s="19"/>
      <c r="F229" s="19"/>
      <c r="G229" s="20"/>
      <c r="H229" s="20"/>
      <c r="I229" s="20"/>
      <c r="J229" s="20"/>
      <c r="K229" s="21"/>
      <c r="L229" s="21"/>
      <c r="M229" s="22"/>
      <c r="N229" s="23" t="str">
        <f t="shared" si="2"/>
        <v>—</v>
      </c>
      <c r="O229" s="24" t="str">
        <f t="shared" si="3"/>
        <v>—</v>
      </c>
      <c r="Y229" s="16">
        <f t="shared" si="5"/>
        <v>228</v>
      </c>
      <c r="Z229" s="17" t="str">
        <f t="shared" si="6"/>
        <v/>
      </c>
    </row>
    <row r="230" ht="25.5" customHeight="1">
      <c r="D230" s="9" t="str">
        <f t="shared" si="1"/>
        <v/>
      </c>
      <c r="E230" s="10"/>
      <c r="F230" s="10"/>
      <c r="G230" s="11"/>
      <c r="H230" s="11"/>
      <c r="I230" s="11"/>
      <c r="J230" s="11"/>
      <c r="K230" s="12"/>
      <c r="L230" s="12"/>
      <c r="M230" s="13"/>
      <c r="N230" s="14" t="str">
        <f t="shared" si="2"/>
        <v>—</v>
      </c>
      <c r="O230" s="15" t="str">
        <f t="shared" si="3"/>
        <v>—</v>
      </c>
      <c r="Y230" s="16">
        <f t="shared" si="5"/>
        <v>229</v>
      </c>
      <c r="Z230" s="17" t="str">
        <f t="shared" si="6"/>
        <v/>
      </c>
    </row>
    <row r="231" ht="25.5" customHeight="1">
      <c r="D231" s="18" t="str">
        <f t="shared" si="1"/>
        <v/>
      </c>
      <c r="E231" s="19"/>
      <c r="F231" s="19"/>
      <c r="G231" s="20"/>
      <c r="H231" s="20"/>
      <c r="I231" s="20"/>
      <c r="J231" s="20"/>
      <c r="K231" s="21"/>
      <c r="L231" s="21"/>
      <c r="M231" s="22"/>
      <c r="N231" s="23" t="str">
        <f t="shared" si="2"/>
        <v>—</v>
      </c>
      <c r="O231" s="24" t="str">
        <f t="shared" si="3"/>
        <v>—</v>
      </c>
      <c r="Y231" s="16">
        <f t="shared" si="5"/>
        <v>230</v>
      </c>
      <c r="Z231" s="17" t="str">
        <f t="shared" si="6"/>
        <v/>
      </c>
    </row>
    <row r="232" ht="25.5" customHeight="1">
      <c r="D232" s="9" t="str">
        <f t="shared" si="1"/>
        <v/>
      </c>
      <c r="E232" s="10"/>
      <c r="F232" s="10"/>
      <c r="G232" s="11"/>
      <c r="H232" s="11"/>
      <c r="I232" s="11"/>
      <c r="J232" s="11"/>
      <c r="K232" s="12"/>
      <c r="L232" s="12"/>
      <c r="M232" s="13"/>
      <c r="N232" s="14" t="str">
        <f t="shared" si="2"/>
        <v>—</v>
      </c>
      <c r="O232" s="15" t="str">
        <f t="shared" si="3"/>
        <v>—</v>
      </c>
      <c r="Y232" s="16">
        <f t="shared" si="5"/>
        <v>231</v>
      </c>
      <c r="Z232" s="17" t="str">
        <f t="shared" si="6"/>
        <v/>
      </c>
    </row>
    <row r="233" ht="25.5" customHeight="1">
      <c r="D233" s="18" t="str">
        <f t="shared" si="1"/>
        <v/>
      </c>
      <c r="E233" s="19"/>
      <c r="F233" s="19"/>
      <c r="G233" s="20"/>
      <c r="H233" s="20"/>
      <c r="I233" s="20"/>
      <c r="J233" s="20"/>
      <c r="K233" s="21"/>
      <c r="L233" s="21"/>
      <c r="M233" s="22"/>
      <c r="N233" s="23" t="str">
        <f t="shared" si="2"/>
        <v>—</v>
      </c>
      <c r="O233" s="24" t="str">
        <f t="shared" si="3"/>
        <v>—</v>
      </c>
      <c r="Y233" s="16">
        <f t="shared" si="5"/>
        <v>232</v>
      </c>
      <c r="Z233" s="17" t="str">
        <f t="shared" si="6"/>
        <v/>
      </c>
    </row>
    <row r="234" ht="25.5" customHeight="1">
      <c r="D234" s="9" t="str">
        <f t="shared" si="1"/>
        <v/>
      </c>
      <c r="E234" s="10"/>
      <c r="F234" s="10"/>
      <c r="G234" s="11"/>
      <c r="H234" s="11"/>
      <c r="I234" s="11"/>
      <c r="J234" s="11"/>
      <c r="K234" s="12"/>
      <c r="L234" s="12"/>
      <c r="M234" s="13"/>
      <c r="N234" s="14" t="str">
        <f t="shared" si="2"/>
        <v>—</v>
      </c>
      <c r="O234" s="15" t="str">
        <f t="shared" si="3"/>
        <v>—</v>
      </c>
      <c r="Y234" s="16">
        <f t="shared" si="5"/>
        <v>233</v>
      </c>
      <c r="Z234" s="17" t="str">
        <f t="shared" si="6"/>
        <v/>
      </c>
    </row>
    <row r="235" ht="25.5" customHeight="1">
      <c r="D235" s="18" t="str">
        <f t="shared" si="1"/>
        <v/>
      </c>
      <c r="E235" s="19"/>
      <c r="F235" s="19"/>
      <c r="G235" s="20"/>
      <c r="H235" s="20"/>
      <c r="I235" s="20"/>
      <c r="J235" s="20"/>
      <c r="K235" s="21"/>
      <c r="L235" s="21"/>
      <c r="M235" s="22"/>
      <c r="N235" s="23" t="str">
        <f t="shared" si="2"/>
        <v>—</v>
      </c>
      <c r="O235" s="24" t="str">
        <f t="shared" si="3"/>
        <v>—</v>
      </c>
      <c r="Y235" s="16">
        <f t="shared" si="5"/>
        <v>234</v>
      </c>
      <c r="Z235" s="17" t="str">
        <f t="shared" si="6"/>
        <v/>
      </c>
    </row>
    <row r="236" ht="25.5" customHeight="1">
      <c r="D236" s="9" t="str">
        <f t="shared" si="1"/>
        <v/>
      </c>
      <c r="E236" s="10"/>
      <c r="F236" s="10"/>
      <c r="G236" s="11"/>
      <c r="H236" s="11"/>
      <c r="I236" s="11"/>
      <c r="J236" s="11"/>
      <c r="K236" s="12"/>
      <c r="L236" s="12"/>
      <c r="M236" s="13"/>
      <c r="N236" s="14" t="str">
        <f t="shared" si="2"/>
        <v>—</v>
      </c>
      <c r="O236" s="15" t="str">
        <f t="shared" si="3"/>
        <v>—</v>
      </c>
      <c r="Y236" s="16">
        <f t="shared" si="5"/>
        <v>235</v>
      </c>
      <c r="Z236" s="17" t="str">
        <f t="shared" si="6"/>
        <v/>
      </c>
    </row>
    <row r="237" ht="25.5" customHeight="1">
      <c r="D237" s="18" t="str">
        <f t="shared" si="1"/>
        <v/>
      </c>
      <c r="E237" s="19"/>
      <c r="F237" s="19"/>
      <c r="G237" s="20"/>
      <c r="H237" s="20"/>
      <c r="I237" s="20"/>
      <c r="J237" s="20"/>
      <c r="K237" s="21"/>
      <c r="L237" s="21"/>
      <c r="M237" s="22"/>
      <c r="N237" s="23" t="str">
        <f t="shared" si="2"/>
        <v>—</v>
      </c>
      <c r="O237" s="24" t="str">
        <f t="shared" si="3"/>
        <v>—</v>
      </c>
      <c r="Y237" s="16">
        <f t="shared" si="5"/>
        <v>236</v>
      </c>
      <c r="Z237" s="17" t="str">
        <f t="shared" si="6"/>
        <v/>
      </c>
    </row>
    <row r="238" ht="25.5" customHeight="1">
      <c r="D238" s="9" t="str">
        <f t="shared" si="1"/>
        <v/>
      </c>
      <c r="E238" s="10"/>
      <c r="F238" s="10"/>
      <c r="G238" s="11"/>
      <c r="H238" s="11"/>
      <c r="I238" s="11"/>
      <c r="J238" s="11"/>
      <c r="K238" s="12"/>
      <c r="L238" s="12"/>
      <c r="M238" s="13"/>
      <c r="N238" s="14" t="str">
        <f t="shared" si="2"/>
        <v>—</v>
      </c>
      <c r="O238" s="15" t="str">
        <f t="shared" si="3"/>
        <v>—</v>
      </c>
      <c r="Y238" s="16">
        <f t="shared" si="5"/>
        <v>237</v>
      </c>
      <c r="Z238" s="17" t="str">
        <f t="shared" si="6"/>
        <v/>
      </c>
    </row>
    <row r="239" ht="25.5" customHeight="1">
      <c r="D239" s="18" t="str">
        <f t="shared" si="1"/>
        <v/>
      </c>
      <c r="E239" s="19"/>
      <c r="F239" s="19"/>
      <c r="G239" s="20"/>
      <c r="H239" s="20"/>
      <c r="I239" s="20"/>
      <c r="J239" s="20"/>
      <c r="K239" s="21"/>
      <c r="L239" s="21"/>
      <c r="M239" s="22"/>
      <c r="N239" s="23" t="str">
        <f t="shared" si="2"/>
        <v>—</v>
      </c>
      <c r="O239" s="24" t="str">
        <f t="shared" si="3"/>
        <v>—</v>
      </c>
      <c r="Y239" s="16">
        <f t="shared" si="5"/>
        <v>238</v>
      </c>
      <c r="Z239" s="17" t="str">
        <f t="shared" si="6"/>
        <v/>
      </c>
    </row>
    <row r="240" ht="25.5" customHeight="1">
      <c r="D240" s="9" t="str">
        <f t="shared" si="1"/>
        <v/>
      </c>
      <c r="E240" s="10"/>
      <c r="F240" s="10"/>
      <c r="G240" s="11"/>
      <c r="H240" s="11"/>
      <c r="I240" s="11"/>
      <c r="J240" s="11"/>
      <c r="K240" s="12"/>
      <c r="L240" s="12"/>
      <c r="M240" s="13"/>
      <c r="N240" s="14" t="str">
        <f t="shared" si="2"/>
        <v>—</v>
      </c>
      <c r="O240" s="15" t="str">
        <f t="shared" si="3"/>
        <v>—</v>
      </c>
      <c r="Y240" s="16">
        <f t="shared" si="5"/>
        <v>239</v>
      </c>
      <c r="Z240" s="17" t="str">
        <f t="shared" si="6"/>
        <v/>
      </c>
    </row>
    <row r="241" ht="25.5" customHeight="1">
      <c r="D241" s="18" t="str">
        <f t="shared" si="1"/>
        <v/>
      </c>
      <c r="E241" s="19"/>
      <c r="F241" s="19"/>
      <c r="G241" s="20"/>
      <c r="H241" s="20"/>
      <c r="I241" s="20"/>
      <c r="J241" s="20"/>
      <c r="K241" s="21"/>
      <c r="L241" s="21"/>
      <c r="M241" s="22"/>
      <c r="N241" s="23" t="str">
        <f t="shared" si="2"/>
        <v>—</v>
      </c>
      <c r="O241" s="24" t="str">
        <f t="shared" si="3"/>
        <v>—</v>
      </c>
      <c r="Y241" s="16">
        <f t="shared" si="5"/>
        <v>240</v>
      </c>
      <c r="Z241" s="17" t="str">
        <f t="shared" si="6"/>
        <v/>
      </c>
    </row>
    <row r="242" ht="25.5" customHeight="1">
      <c r="D242" s="9" t="str">
        <f t="shared" si="1"/>
        <v/>
      </c>
      <c r="E242" s="10"/>
      <c r="F242" s="10"/>
      <c r="G242" s="11"/>
      <c r="H242" s="11"/>
      <c r="I242" s="11"/>
      <c r="J242" s="11"/>
      <c r="K242" s="12"/>
      <c r="L242" s="12"/>
      <c r="M242" s="13"/>
      <c r="N242" s="14" t="str">
        <f t="shared" si="2"/>
        <v>—</v>
      </c>
      <c r="O242" s="15" t="str">
        <f t="shared" si="3"/>
        <v>—</v>
      </c>
      <c r="Y242" s="16">
        <f t="shared" si="5"/>
        <v>241</v>
      </c>
      <c r="Z242" s="17" t="str">
        <f t="shared" si="6"/>
        <v/>
      </c>
    </row>
    <row r="243" ht="25.5" customHeight="1">
      <c r="D243" s="18" t="str">
        <f t="shared" si="1"/>
        <v/>
      </c>
      <c r="E243" s="19"/>
      <c r="F243" s="19"/>
      <c r="G243" s="20"/>
      <c r="H243" s="20"/>
      <c r="I243" s="20"/>
      <c r="J243" s="20"/>
      <c r="K243" s="21"/>
      <c r="L243" s="21"/>
      <c r="M243" s="22"/>
      <c r="N243" s="23" t="str">
        <f t="shared" si="2"/>
        <v>—</v>
      </c>
      <c r="O243" s="24" t="str">
        <f t="shared" si="3"/>
        <v>—</v>
      </c>
      <c r="Y243" s="16">
        <f t="shared" si="5"/>
        <v>242</v>
      </c>
      <c r="Z243" s="17" t="str">
        <f t="shared" si="6"/>
        <v/>
      </c>
    </row>
    <row r="244" ht="25.5" customHeight="1">
      <c r="D244" s="9" t="str">
        <f t="shared" si="1"/>
        <v/>
      </c>
      <c r="E244" s="10"/>
      <c r="F244" s="10"/>
      <c r="G244" s="11"/>
      <c r="H244" s="11"/>
      <c r="I244" s="11"/>
      <c r="J244" s="11"/>
      <c r="K244" s="12"/>
      <c r="L244" s="12"/>
      <c r="M244" s="13"/>
      <c r="N244" s="14" t="str">
        <f t="shared" si="2"/>
        <v>—</v>
      </c>
      <c r="O244" s="15" t="str">
        <f t="shared" si="3"/>
        <v>—</v>
      </c>
      <c r="Y244" s="16">
        <f t="shared" si="5"/>
        <v>243</v>
      </c>
      <c r="Z244" s="17" t="str">
        <f t="shared" si="6"/>
        <v/>
      </c>
    </row>
    <row r="245" ht="25.5" customHeight="1">
      <c r="D245" s="18" t="str">
        <f t="shared" si="1"/>
        <v/>
      </c>
      <c r="E245" s="19"/>
      <c r="F245" s="19"/>
      <c r="G245" s="20"/>
      <c r="H245" s="20"/>
      <c r="I245" s="20"/>
      <c r="J245" s="20"/>
      <c r="K245" s="21"/>
      <c r="L245" s="21"/>
      <c r="M245" s="22"/>
      <c r="N245" s="23" t="str">
        <f t="shared" si="2"/>
        <v>—</v>
      </c>
      <c r="O245" s="24" t="str">
        <f t="shared" si="3"/>
        <v>—</v>
      </c>
      <c r="Y245" s="16">
        <f t="shared" si="5"/>
        <v>244</v>
      </c>
      <c r="Z245" s="17" t="str">
        <f t="shared" si="6"/>
        <v/>
      </c>
    </row>
    <row r="246" ht="25.5" customHeight="1">
      <c r="D246" s="9" t="str">
        <f t="shared" si="1"/>
        <v/>
      </c>
      <c r="E246" s="10"/>
      <c r="F246" s="10"/>
      <c r="G246" s="11"/>
      <c r="H246" s="11"/>
      <c r="I246" s="11"/>
      <c r="J246" s="11"/>
      <c r="K246" s="12"/>
      <c r="L246" s="12"/>
      <c r="M246" s="13"/>
      <c r="N246" s="14" t="str">
        <f t="shared" si="2"/>
        <v>—</v>
      </c>
      <c r="O246" s="15" t="str">
        <f t="shared" si="3"/>
        <v>—</v>
      </c>
      <c r="Y246" s="16">
        <f t="shared" si="5"/>
        <v>245</v>
      </c>
      <c r="Z246" s="17" t="str">
        <f t="shared" si="6"/>
        <v/>
      </c>
    </row>
    <row r="247" ht="25.5" customHeight="1">
      <c r="D247" s="18" t="str">
        <f t="shared" si="1"/>
        <v/>
      </c>
      <c r="E247" s="19"/>
      <c r="F247" s="19"/>
      <c r="G247" s="20"/>
      <c r="H247" s="20"/>
      <c r="I247" s="20"/>
      <c r="J247" s="20"/>
      <c r="K247" s="21"/>
      <c r="L247" s="21"/>
      <c r="M247" s="22"/>
      <c r="N247" s="23" t="str">
        <f t="shared" si="2"/>
        <v>—</v>
      </c>
      <c r="O247" s="24" t="str">
        <f t="shared" si="3"/>
        <v>—</v>
      </c>
      <c r="Y247" s="16">
        <f t="shared" si="5"/>
        <v>246</v>
      </c>
      <c r="Z247" s="17" t="str">
        <f t="shared" si="6"/>
        <v/>
      </c>
    </row>
    <row r="248" ht="25.5" customHeight="1">
      <c r="D248" s="9" t="str">
        <f t="shared" si="1"/>
        <v/>
      </c>
      <c r="E248" s="10"/>
      <c r="F248" s="10"/>
      <c r="G248" s="11"/>
      <c r="H248" s="11"/>
      <c r="I248" s="11"/>
      <c r="J248" s="11"/>
      <c r="K248" s="12"/>
      <c r="L248" s="12"/>
      <c r="M248" s="13"/>
      <c r="N248" s="14" t="str">
        <f t="shared" si="2"/>
        <v>—</v>
      </c>
      <c r="O248" s="15" t="str">
        <f t="shared" si="3"/>
        <v>—</v>
      </c>
      <c r="Y248" s="16">
        <f t="shared" si="5"/>
        <v>247</v>
      </c>
      <c r="Z248" s="17" t="str">
        <f t="shared" si="6"/>
        <v/>
      </c>
    </row>
    <row r="249" ht="25.5" customHeight="1">
      <c r="D249" s="18" t="str">
        <f t="shared" si="1"/>
        <v/>
      </c>
      <c r="E249" s="19"/>
      <c r="F249" s="19"/>
      <c r="G249" s="20"/>
      <c r="H249" s="20"/>
      <c r="I249" s="20"/>
      <c r="J249" s="20"/>
      <c r="K249" s="21"/>
      <c r="L249" s="21"/>
      <c r="M249" s="22"/>
      <c r="N249" s="23" t="str">
        <f t="shared" si="2"/>
        <v>—</v>
      </c>
      <c r="O249" s="24" t="str">
        <f t="shared" si="3"/>
        <v>—</v>
      </c>
      <c r="Y249" s="16">
        <f t="shared" si="5"/>
        <v>248</v>
      </c>
      <c r="Z249" s="17" t="str">
        <f t="shared" si="6"/>
        <v/>
      </c>
    </row>
    <row r="250" ht="25.5" customHeight="1">
      <c r="D250" s="9" t="str">
        <f t="shared" si="1"/>
        <v/>
      </c>
      <c r="E250" s="10"/>
      <c r="F250" s="10"/>
      <c r="G250" s="11"/>
      <c r="H250" s="11"/>
      <c r="I250" s="11"/>
      <c r="J250" s="11"/>
      <c r="K250" s="12"/>
      <c r="L250" s="12"/>
      <c r="M250" s="13"/>
      <c r="N250" s="14" t="str">
        <f t="shared" si="2"/>
        <v>—</v>
      </c>
      <c r="O250" s="15" t="str">
        <f t="shared" si="3"/>
        <v>—</v>
      </c>
      <c r="Y250" s="16">
        <f t="shared" si="5"/>
        <v>249</v>
      </c>
      <c r="Z250" s="17" t="str">
        <f t="shared" si="6"/>
        <v/>
      </c>
    </row>
    <row r="251" ht="25.5" customHeight="1">
      <c r="D251" s="18" t="str">
        <f t="shared" si="1"/>
        <v/>
      </c>
      <c r="E251" s="19"/>
      <c r="F251" s="19"/>
      <c r="G251" s="20"/>
      <c r="H251" s="20"/>
      <c r="I251" s="20"/>
      <c r="J251" s="20"/>
      <c r="K251" s="21"/>
      <c r="L251" s="21"/>
      <c r="M251" s="22"/>
      <c r="N251" s="23" t="str">
        <f t="shared" si="2"/>
        <v>—</v>
      </c>
      <c r="O251" s="24" t="str">
        <f t="shared" si="3"/>
        <v>—</v>
      </c>
      <c r="Y251" s="16">
        <f t="shared" si="5"/>
        <v>250</v>
      </c>
      <c r="Z251" s="17" t="str">
        <f t="shared" si="6"/>
        <v/>
      </c>
    </row>
    <row r="252" ht="25.5" customHeight="1">
      <c r="D252" s="9" t="str">
        <f t="shared" si="1"/>
        <v/>
      </c>
      <c r="E252" s="10"/>
      <c r="F252" s="10"/>
      <c r="G252" s="11"/>
      <c r="H252" s="11"/>
      <c r="I252" s="11"/>
      <c r="J252" s="11"/>
      <c r="K252" s="12"/>
      <c r="L252" s="12"/>
      <c r="M252" s="13"/>
      <c r="N252" s="14" t="str">
        <f t="shared" si="2"/>
        <v>—</v>
      </c>
      <c r="O252" s="15" t="str">
        <f t="shared" si="3"/>
        <v>—</v>
      </c>
      <c r="Y252" s="16">
        <f t="shared" si="5"/>
        <v>251</v>
      </c>
      <c r="Z252" s="17" t="str">
        <f t="shared" si="6"/>
        <v/>
      </c>
    </row>
    <row r="253" ht="25.5" customHeight="1">
      <c r="D253" s="18" t="str">
        <f t="shared" si="1"/>
        <v/>
      </c>
      <c r="E253" s="19"/>
      <c r="F253" s="19"/>
      <c r="G253" s="20"/>
      <c r="H253" s="20"/>
      <c r="I253" s="20"/>
      <c r="J253" s="20"/>
      <c r="K253" s="21"/>
      <c r="L253" s="21"/>
      <c r="M253" s="22"/>
      <c r="N253" s="23" t="str">
        <f t="shared" si="2"/>
        <v>—</v>
      </c>
      <c r="O253" s="24" t="str">
        <f t="shared" si="3"/>
        <v>—</v>
      </c>
      <c r="Y253" s="16">
        <f t="shared" si="5"/>
        <v>252</v>
      </c>
      <c r="Z253" s="17" t="str">
        <f t="shared" si="6"/>
        <v/>
      </c>
    </row>
    <row r="254" ht="25.5" customHeight="1">
      <c r="D254" s="9" t="str">
        <f t="shared" si="1"/>
        <v/>
      </c>
      <c r="E254" s="10"/>
      <c r="F254" s="10"/>
      <c r="G254" s="11"/>
      <c r="H254" s="11"/>
      <c r="I254" s="11"/>
      <c r="J254" s="11"/>
      <c r="K254" s="12"/>
      <c r="L254" s="12"/>
      <c r="M254" s="13"/>
      <c r="N254" s="14" t="str">
        <f t="shared" si="2"/>
        <v>—</v>
      </c>
      <c r="O254" s="15" t="str">
        <f t="shared" si="3"/>
        <v>—</v>
      </c>
      <c r="Y254" s="16">
        <f t="shared" si="5"/>
        <v>253</v>
      </c>
      <c r="Z254" s="17" t="str">
        <f t="shared" si="6"/>
        <v/>
      </c>
    </row>
    <row r="255" ht="25.5" customHeight="1">
      <c r="D255" s="18" t="str">
        <f t="shared" si="1"/>
        <v/>
      </c>
      <c r="E255" s="19"/>
      <c r="F255" s="19"/>
      <c r="G255" s="20"/>
      <c r="H255" s="20"/>
      <c r="I255" s="20"/>
      <c r="J255" s="20"/>
      <c r="K255" s="21"/>
      <c r="L255" s="21"/>
      <c r="M255" s="22"/>
      <c r="N255" s="23" t="str">
        <f t="shared" si="2"/>
        <v>—</v>
      </c>
      <c r="O255" s="24" t="str">
        <f t="shared" si="3"/>
        <v>—</v>
      </c>
      <c r="Y255" s="16">
        <f t="shared" si="5"/>
        <v>254</v>
      </c>
      <c r="Z255" s="17" t="str">
        <f t="shared" si="6"/>
        <v/>
      </c>
    </row>
    <row r="256" ht="25.5" customHeight="1">
      <c r="D256" s="9" t="str">
        <f t="shared" si="1"/>
        <v/>
      </c>
      <c r="E256" s="10"/>
      <c r="F256" s="10"/>
      <c r="G256" s="11"/>
      <c r="H256" s="11"/>
      <c r="I256" s="11"/>
      <c r="J256" s="11"/>
      <c r="K256" s="12"/>
      <c r="L256" s="12"/>
      <c r="M256" s="13"/>
      <c r="N256" s="14" t="str">
        <f t="shared" si="2"/>
        <v>—</v>
      </c>
      <c r="O256" s="15" t="str">
        <f t="shared" si="3"/>
        <v>—</v>
      </c>
      <c r="Y256" s="16">
        <f t="shared" si="5"/>
        <v>255</v>
      </c>
      <c r="Z256" s="17" t="str">
        <f t="shared" si="6"/>
        <v/>
      </c>
    </row>
    <row r="257" ht="25.5" customHeight="1">
      <c r="D257" s="18" t="str">
        <f t="shared" si="1"/>
        <v/>
      </c>
      <c r="E257" s="19"/>
      <c r="F257" s="19"/>
      <c r="G257" s="20"/>
      <c r="H257" s="20"/>
      <c r="I257" s="20"/>
      <c r="J257" s="20"/>
      <c r="K257" s="21"/>
      <c r="L257" s="21"/>
      <c r="M257" s="22"/>
      <c r="N257" s="23" t="str">
        <f t="shared" si="2"/>
        <v>—</v>
      </c>
      <c r="O257" s="24" t="str">
        <f t="shared" si="3"/>
        <v>—</v>
      </c>
      <c r="Y257" s="16">
        <f t="shared" si="5"/>
        <v>256</v>
      </c>
      <c r="Z257" s="17" t="str">
        <f t="shared" si="6"/>
        <v/>
      </c>
    </row>
    <row r="258" ht="25.5" customHeight="1">
      <c r="D258" s="9" t="str">
        <f t="shared" si="1"/>
        <v/>
      </c>
      <c r="E258" s="10"/>
      <c r="F258" s="10"/>
      <c r="G258" s="11"/>
      <c r="H258" s="11"/>
      <c r="I258" s="11"/>
      <c r="J258" s="11"/>
      <c r="K258" s="12"/>
      <c r="L258" s="12"/>
      <c r="M258" s="13"/>
      <c r="N258" s="14" t="str">
        <f t="shared" si="2"/>
        <v>—</v>
      </c>
      <c r="O258" s="15" t="str">
        <f t="shared" si="3"/>
        <v>—</v>
      </c>
      <c r="Y258" s="16">
        <f t="shared" si="5"/>
        <v>257</v>
      </c>
      <c r="Z258" s="17" t="str">
        <f t="shared" si="6"/>
        <v/>
      </c>
    </row>
    <row r="259" ht="25.5" customHeight="1">
      <c r="D259" s="18" t="str">
        <f t="shared" si="1"/>
        <v/>
      </c>
      <c r="E259" s="19"/>
      <c r="F259" s="19"/>
      <c r="G259" s="20"/>
      <c r="H259" s="20"/>
      <c r="I259" s="20"/>
      <c r="J259" s="20"/>
      <c r="K259" s="21"/>
      <c r="L259" s="21"/>
      <c r="M259" s="22"/>
      <c r="N259" s="23" t="str">
        <f t="shared" si="2"/>
        <v>—</v>
      </c>
      <c r="O259" s="24" t="str">
        <f t="shared" si="3"/>
        <v>—</v>
      </c>
      <c r="Y259" s="16">
        <f t="shared" si="5"/>
        <v>258</v>
      </c>
      <c r="Z259" s="17" t="str">
        <f t="shared" si="6"/>
        <v/>
      </c>
    </row>
    <row r="260" ht="25.5" customHeight="1">
      <c r="D260" s="9" t="str">
        <f t="shared" si="1"/>
        <v/>
      </c>
      <c r="E260" s="10"/>
      <c r="F260" s="10"/>
      <c r="G260" s="11"/>
      <c r="H260" s="11"/>
      <c r="I260" s="11"/>
      <c r="J260" s="11"/>
      <c r="K260" s="12"/>
      <c r="L260" s="12"/>
      <c r="M260" s="13"/>
      <c r="N260" s="14" t="str">
        <f t="shared" si="2"/>
        <v>—</v>
      </c>
      <c r="O260" s="15" t="str">
        <f t="shared" si="3"/>
        <v>—</v>
      </c>
      <c r="Y260" s="16">
        <f t="shared" si="5"/>
        <v>259</v>
      </c>
      <c r="Z260" s="17" t="str">
        <f t="shared" si="6"/>
        <v/>
      </c>
    </row>
    <row r="261" ht="25.5" customHeight="1">
      <c r="D261" s="18" t="str">
        <f t="shared" si="1"/>
        <v/>
      </c>
      <c r="E261" s="19"/>
      <c r="F261" s="19"/>
      <c r="G261" s="20"/>
      <c r="H261" s="20"/>
      <c r="I261" s="20"/>
      <c r="J261" s="20"/>
      <c r="K261" s="21"/>
      <c r="L261" s="21"/>
      <c r="M261" s="22"/>
      <c r="N261" s="23" t="str">
        <f t="shared" si="2"/>
        <v>—</v>
      </c>
      <c r="O261" s="24" t="str">
        <f t="shared" si="3"/>
        <v>—</v>
      </c>
      <c r="Y261" s="16">
        <f t="shared" si="5"/>
        <v>260</v>
      </c>
      <c r="Z261" s="17" t="str">
        <f t="shared" si="6"/>
        <v/>
      </c>
    </row>
    <row r="262" ht="25.5" customHeight="1">
      <c r="D262" s="9" t="str">
        <f t="shared" si="1"/>
        <v/>
      </c>
      <c r="E262" s="10"/>
      <c r="F262" s="10"/>
      <c r="G262" s="11"/>
      <c r="H262" s="11"/>
      <c r="I262" s="11"/>
      <c r="J262" s="11"/>
      <c r="K262" s="12"/>
      <c r="L262" s="12"/>
      <c r="M262" s="13"/>
      <c r="N262" s="14" t="str">
        <f t="shared" si="2"/>
        <v>—</v>
      </c>
      <c r="O262" s="15" t="str">
        <f t="shared" si="3"/>
        <v>—</v>
      </c>
    </row>
    <row r="264" ht="21.75" customHeight="1">
      <c r="A264" s="28" t="s">
        <v>16</v>
      </c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30"/>
    </row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</sheetData>
  <mergeCells count="1">
    <mergeCell ref="A264:O264"/>
  </mergeCells>
  <conditionalFormatting sqref="N2:N262">
    <cfRule type="expression" dxfId="0" priority="1">
      <formula>N2="Em dia"</formula>
    </cfRule>
  </conditionalFormatting>
  <conditionalFormatting sqref="N2:N262">
    <cfRule type="expression" dxfId="1" priority="2">
      <formula>N2="Concluído"</formula>
    </cfRule>
  </conditionalFormatting>
  <conditionalFormatting sqref="N2:N262">
    <cfRule type="expression" dxfId="2" priority="3">
      <formula>N2="Atrasado"</formula>
    </cfRule>
  </conditionalFormatting>
  <conditionalFormatting sqref="N2:N262">
    <cfRule type="expression" dxfId="3" priority="4">
      <formula>N2="Não iniciado"</formula>
    </cfRule>
  </conditionalFormatting>
  <conditionalFormatting sqref="O2:O262">
    <cfRule type="expression" dxfId="2" priority="5">
      <formula>AND(O2&lt;&gt;"—",O2&gt;0)</formula>
    </cfRule>
  </conditionalFormatting>
  <conditionalFormatting sqref="O2:O262">
    <cfRule type="expression" dxfId="0" priority="6">
      <formula>AND(O2&lt;&gt;"—",O2&lt;=0)</formula>
    </cfRule>
  </conditionalFormatting>
  <dataValidations>
    <dataValidation type="decimal" allowBlank="1" showInputMessage="1" showErrorMessage="1" prompt="Progresso (%) - Digite um número de 0 a 100." sqref="M2:M262">
      <formula1>0.0</formula1>
      <formula2>100.0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D3E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22.0"/>
    <col customWidth="1" min="4" max="4" width="42.0"/>
    <col customWidth="1" min="5" max="5" width="18.0"/>
    <col customWidth="1" min="6" max="12" width="12.0"/>
    <col customWidth="1" min="13" max="26" width="8.71"/>
  </cols>
  <sheetData>
    <row r="1" ht="7.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ht="36.0" customHeight="1">
      <c r="A2" s="32" t="s">
        <v>17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31"/>
      <c r="O2" s="31"/>
      <c r="P2" s="31"/>
      <c r="Q2" s="31"/>
      <c r="R2" s="31"/>
      <c r="S2" s="31"/>
    </row>
    <row r="3" ht="19.5" customHeight="1">
      <c r="A3" s="33" t="s">
        <v>18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31"/>
      <c r="O3" s="31"/>
      <c r="P3" s="31"/>
      <c r="Q3" s="31"/>
      <c r="R3" s="31"/>
      <c r="S3" s="31"/>
    </row>
    <row r="4" ht="3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ht="13.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ht="25.5" customHeight="1">
      <c r="A6" s="35"/>
      <c r="B6" s="36" t="s">
        <v>19</v>
      </c>
      <c r="C6" s="29"/>
      <c r="D6" s="29"/>
      <c r="E6" s="29"/>
      <c r="F6" s="29"/>
      <c r="G6" s="29"/>
      <c r="H6" s="29"/>
      <c r="I6" s="29"/>
      <c r="J6" s="29"/>
      <c r="K6" s="29"/>
      <c r="L6" s="30"/>
      <c r="M6" s="35"/>
      <c r="N6" s="35"/>
      <c r="O6" s="35"/>
      <c r="P6" s="35"/>
      <c r="Q6" s="35"/>
      <c r="R6" s="35"/>
      <c r="S6" s="35"/>
    </row>
    <row r="7" ht="19.5" customHeight="1">
      <c r="A7" s="35"/>
      <c r="B7" s="35"/>
      <c r="C7" s="37" t="s">
        <v>20</v>
      </c>
      <c r="D7" s="29"/>
      <c r="E7" s="29"/>
      <c r="F7" s="29"/>
      <c r="G7" s="29"/>
      <c r="H7" s="29"/>
      <c r="I7" s="29"/>
      <c r="J7" s="29"/>
      <c r="K7" s="29"/>
      <c r="L7" s="30"/>
      <c r="M7" s="35"/>
      <c r="N7" s="35"/>
      <c r="O7" s="35"/>
      <c r="P7" s="35"/>
      <c r="Q7" s="35"/>
      <c r="R7" s="35"/>
      <c r="S7" s="35"/>
    </row>
    <row r="8" ht="19.5" customHeight="1">
      <c r="A8" s="35"/>
      <c r="B8" s="35"/>
      <c r="C8" s="37" t="s">
        <v>21</v>
      </c>
      <c r="D8" s="29"/>
      <c r="E8" s="29"/>
      <c r="F8" s="29"/>
      <c r="G8" s="29"/>
      <c r="H8" s="29"/>
      <c r="I8" s="29"/>
      <c r="J8" s="29"/>
      <c r="K8" s="29"/>
      <c r="L8" s="30"/>
      <c r="M8" s="35"/>
      <c r="N8" s="35"/>
      <c r="O8" s="35"/>
      <c r="P8" s="35"/>
      <c r="Q8" s="35"/>
      <c r="R8" s="35"/>
      <c r="S8" s="35"/>
    </row>
    <row r="9" ht="19.5" customHeight="1">
      <c r="A9" s="35"/>
      <c r="B9" s="35"/>
      <c r="C9" s="37" t="s">
        <v>22</v>
      </c>
      <c r="D9" s="29"/>
      <c r="E9" s="29"/>
      <c r="F9" s="29"/>
      <c r="G9" s="29"/>
      <c r="H9" s="29"/>
      <c r="I9" s="29"/>
      <c r="J9" s="29"/>
      <c r="K9" s="29"/>
      <c r="L9" s="30"/>
      <c r="M9" s="35"/>
      <c r="N9" s="35"/>
      <c r="O9" s="35"/>
      <c r="P9" s="35"/>
      <c r="Q9" s="35"/>
      <c r="R9" s="35"/>
      <c r="S9" s="35"/>
    </row>
    <row r="10" ht="18.0" customHeight="1">
      <c r="A10" s="35"/>
      <c r="B10" s="35"/>
      <c r="C10" s="38" t="s">
        <v>23</v>
      </c>
      <c r="D10" s="29"/>
      <c r="E10" s="29"/>
      <c r="F10" s="29"/>
      <c r="G10" s="29"/>
      <c r="H10" s="29"/>
      <c r="I10" s="29"/>
      <c r="J10" s="29"/>
      <c r="K10" s="29"/>
      <c r="L10" s="30"/>
      <c r="M10" s="35"/>
      <c r="N10" s="35"/>
      <c r="O10" s="35"/>
      <c r="P10" s="35"/>
      <c r="Q10" s="35"/>
      <c r="R10" s="35"/>
      <c r="S10" s="35"/>
    </row>
    <row r="11" ht="9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</row>
    <row r="12" ht="25.5" customHeight="1">
      <c r="A12" s="35"/>
      <c r="B12" s="36" t="s">
        <v>24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  <c r="M12" s="35"/>
      <c r="N12" s="35"/>
      <c r="O12" s="35"/>
      <c r="P12" s="35"/>
      <c r="Q12" s="35"/>
      <c r="R12" s="35"/>
      <c r="S12" s="35"/>
    </row>
    <row r="13" ht="19.5" customHeight="1">
      <c r="A13" s="35"/>
      <c r="B13" s="35"/>
      <c r="C13" s="37" t="s">
        <v>25</v>
      </c>
      <c r="D13" s="29"/>
      <c r="E13" s="29"/>
      <c r="F13" s="29"/>
      <c r="G13" s="29"/>
      <c r="H13" s="29"/>
      <c r="I13" s="29"/>
      <c r="J13" s="29"/>
      <c r="K13" s="29"/>
      <c r="L13" s="30"/>
      <c r="M13" s="35"/>
      <c r="N13" s="35"/>
      <c r="O13" s="35"/>
      <c r="P13" s="35"/>
      <c r="Q13" s="35"/>
      <c r="R13" s="35"/>
      <c r="S13" s="35"/>
    </row>
    <row r="14" ht="19.5" customHeight="1">
      <c r="A14" s="35"/>
      <c r="B14" s="35"/>
      <c r="C14" s="37" t="s">
        <v>26</v>
      </c>
      <c r="D14" s="29"/>
      <c r="E14" s="29"/>
      <c r="F14" s="29"/>
      <c r="G14" s="29"/>
      <c r="H14" s="29"/>
      <c r="I14" s="29"/>
      <c r="J14" s="29"/>
      <c r="K14" s="29"/>
      <c r="L14" s="30"/>
      <c r="M14" s="35"/>
      <c r="N14" s="35"/>
      <c r="O14" s="35"/>
      <c r="P14" s="35"/>
      <c r="Q14" s="35"/>
      <c r="R14" s="35"/>
      <c r="S14" s="35"/>
    </row>
    <row r="15" ht="19.5" customHeight="1">
      <c r="A15" s="35"/>
      <c r="B15" s="35"/>
      <c r="C15" s="37" t="s">
        <v>27</v>
      </c>
      <c r="D15" s="29"/>
      <c r="E15" s="29"/>
      <c r="F15" s="29"/>
      <c r="G15" s="29"/>
      <c r="H15" s="29"/>
      <c r="I15" s="29"/>
      <c r="J15" s="29"/>
      <c r="K15" s="29"/>
      <c r="L15" s="30"/>
      <c r="M15" s="35"/>
      <c r="N15" s="35"/>
      <c r="O15" s="35"/>
      <c r="P15" s="35"/>
      <c r="Q15" s="35"/>
      <c r="R15" s="35"/>
      <c r="S15" s="35"/>
    </row>
    <row r="16" ht="19.5" customHeight="1">
      <c r="A16" s="35"/>
      <c r="B16" s="35"/>
      <c r="C16" s="37" t="s">
        <v>28</v>
      </c>
      <c r="D16" s="29"/>
      <c r="E16" s="29"/>
      <c r="F16" s="29"/>
      <c r="G16" s="29"/>
      <c r="H16" s="29"/>
      <c r="I16" s="29"/>
      <c r="J16" s="29"/>
      <c r="K16" s="29"/>
      <c r="L16" s="30"/>
      <c r="M16" s="35"/>
      <c r="N16" s="35"/>
      <c r="O16" s="35"/>
      <c r="P16" s="35"/>
      <c r="Q16" s="35"/>
      <c r="R16" s="35"/>
      <c r="S16" s="35"/>
    </row>
    <row r="17" ht="9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</row>
    <row r="18" ht="25.5" customHeight="1">
      <c r="A18" s="35"/>
      <c r="B18" s="36" t="s">
        <v>29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  <c r="M18" s="35"/>
      <c r="N18" s="35"/>
      <c r="O18" s="35"/>
      <c r="P18" s="35"/>
      <c r="Q18" s="35"/>
      <c r="R18" s="35"/>
      <c r="S18" s="35"/>
    </row>
    <row r="19" ht="19.5" customHeight="1">
      <c r="A19" s="35"/>
      <c r="B19" s="35"/>
      <c r="C19" s="37" t="s">
        <v>30</v>
      </c>
      <c r="D19" s="29"/>
      <c r="E19" s="29"/>
      <c r="F19" s="29"/>
      <c r="G19" s="29"/>
      <c r="H19" s="29"/>
      <c r="I19" s="29"/>
      <c r="J19" s="29"/>
      <c r="K19" s="29"/>
      <c r="L19" s="30"/>
      <c r="M19" s="35"/>
      <c r="N19" s="35"/>
      <c r="O19" s="35"/>
      <c r="P19" s="35"/>
      <c r="Q19" s="35"/>
      <c r="R19" s="35"/>
      <c r="S19" s="35"/>
    </row>
    <row r="20" ht="19.5" customHeight="1">
      <c r="A20" s="35"/>
      <c r="B20" s="35"/>
      <c r="C20" s="37" t="s">
        <v>31</v>
      </c>
      <c r="D20" s="29"/>
      <c r="E20" s="29"/>
      <c r="F20" s="29"/>
      <c r="G20" s="29"/>
      <c r="H20" s="29"/>
      <c r="I20" s="29"/>
      <c r="J20" s="29"/>
      <c r="K20" s="29"/>
      <c r="L20" s="30"/>
      <c r="M20" s="35"/>
      <c r="N20" s="35"/>
      <c r="O20" s="35"/>
      <c r="P20" s="35"/>
      <c r="Q20" s="35"/>
      <c r="R20" s="35"/>
      <c r="S20" s="35"/>
    </row>
    <row r="21" ht="19.5" customHeight="1">
      <c r="A21" s="35"/>
      <c r="B21" s="35"/>
      <c r="C21" s="37" t="s">
        <v>32</v>
      </c>
      <c r="D21" s="29"/>
      <c r="E21" s="29"/>
      <c r="F21" s="29"/>
      <c r="G21" s="29"/>
      <c r="H21" s="29"/>
      <c r="I21" s="29"/>
      <c r="J21" s="29"/>
      <c r="K21" s="29"/>
      <c r="L21" s="30"/>
      <c r="M21" s="35"/>
      <c r="N21" s="35"/>
      <c r="O21" s="35"/>
      <c r="P21" s="35"/>
      <c r="Q21" s="35"/>
      <c r="R21" s="35"/>
      <c r="S21" s="35"/>
    </row>
    <row r="22" ht="9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</row>
    <row r="23" ht="25.5" customHeight="1">
      <c r="A23" s="35"/>
      <c r="B23" s="36" t="s">
        <v>33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  <c r="M23" s="35"/>
      <c r="N23" s="35"/>
      <c r="O23" s="35"/>
      <c r="P23" s="35"/>
      <c r="Q23" s="35"/>
      <c r="R23" s="35"/>
      <c r="S23" s="35"/>
    </row>
    <row r="24" ht="19.5" customHeight="1">
      <c r="A24" s="35"/>
      <c r="B24" s="39" t="s">
        <v>34</v>
      </c>
      <c r="C24" s="40" t="s">
        <v>35</v>
      </c>
      <c r="D24" s="41" t="s">
        <v>36</v>
      </c>
      <c r="E24" s="42"/>
      <c r="F24" s="42"/>
      <c r="G24" s="42"/>
      <c r="H24" s="42"/>
      <c r="I24" s="42"/>
      <c r="J24" s="42"/>
      <c r="K24" s="42"/>
      <c r="L24" s="43"/>
      <c r="M24" s="35"/>
      <c r="N24" s="35"/>
      <c r="O24" s="35"/>
      <c r="P24" s="35"/>
      <c r="Q24" s="35"/>
      <c r="R24" s="35"/>
      <c r="S24" s="35"/>
    </row>
    <row r="25" ht="19.5" customHeight="1">
      <c r="A25" s="35"/>
      <c r="B25" s="39" t="s">
        <v>37</v>
      </c>
      <c r="C25" s="40" t="s">
        <v>38</v>
      </c>
      <c r="D25" s="44" t="s">
        <v>39</v>
      </c>
      <c r="E25" s="42"/>
      <c r="F25" s="42"/>
      <c r="G25" s="42"/>
      <c r="H25" s="42"/>
      <c r="I25" s="42"/>
      <c r="J25" s="42"/>
      <c r="K25" s="42"/>
      <c r="L25" s="43"/>
      <c r="M25" s="35"/>
      <c r="N25" s="35"/>
      <c r="O25" s="35"/>
      <c r="P25" s="35"/>
      <c r="Q25" s="35"/>
      <c r="R25" s="35"/>
      <c r="S25" s="35"/>
    </row>
    <row r="26" ht="19.5" customHeight="1">
      <c r="A26" s="35"/>
      <c r="B26" s="39" t="s">
        <v>40</v>
      </c>
      <c r="C26" s="40" t="s">
        <v>41</v>
      </c>
      <c r="D26" s="41" t="s">
        <v>42</v>
      </c>
      <c r="E26" s="42"/>
      <c r="F26" s="42"/>
      <c r="G26" s="42"/>
      <c r="H26" s="42"/>
      <c r="I26" s="42"/>
      <c r="J26" s="42"/>
      <c r="K26" s="42"/>
      <c r="L26" s="43"/>
      <c r="M26" s="35"/>
      <c r="N26" s="35"/>
      <c r="O26" s="35"/>
      <c r="P26" s="35"/>
      <c r="Q26" s="35"/>
      <c r="R26" s="35"/>
      <c r="S26" s="35"/>
    </row>
    <row r="27" ht="19.5" customHeight="1">
      <c r="A27" s="35"/>
      <c r="B27" s="39" t="s">
        <v>43</v>
      </c>
      <c r="C27" s="40" t="s">
        <v>3</v>
      </c>
      <c r="D27" s="44" t="s">
        <v>44</v>
      </c>
      <c r="E27" s="42"/>
      <c r="F27" s="42"/>
      <c r="G27" s="42"/>
      <c r="H27" s="42"/>
      <c r="I27" s="42"/>
      <c r="J27" s="42"/>
      <c r="K27" s="42"/>
      <c r="L27" s="43"/>
      <c r="M27" s="35"/>
      <c r="N27" s="35"/>
      <c r="O27" s="35"/>
      <c r="P27" s="35"/>
      <c r="Q27" s="35"/>
      <c r="R27" s="35"/>
      <c r="S27" s="35"/>
    </row>
    <row r="28" ht="19.5" customHeight="1">
      <c r="A28" s="35"/>
      <c r="B28" s="39" t="s">
        <v>45</v>
      </c>
      <c r="C28" s="40" t="s">
        <v>46</v>
      </c>
      <c r="D28" s="41" t="s">
        <v>47</v>
      </c>
      <c r="E28" s="42"/>
      <c r="F28" s="42"/>
      <c r="G28" s="42"/>
      <c r="H28" s="42"/>
      <c r="I28" s="42"/>
      <c r="J28" s="42"/>
      <c r="K28" s="42"/>
      <c r="L28" s="43"/>
      <c r="M28" s="35"/>
      <c r="N28" s="35"/>
      <c r="O28" s="35"/>
      <c r="P28" s="35"/>
      <c r="Q28" s="35"/>
      <c r="R28" s="35"/>
      <c r="S28" s="35"/>
    </row>
    <row r="29" ht="19.5" customHeight="1">
      <c r="A29" s="35"/>
      <c r="B29" s="39" t="s">
        <v>48</v>
      </c>
      <c r="C29" s="40" t="s">
        <v>38</v>
      </c>
      <c r="D29" s="44" t="s">
        <v>49</v>
      </c>
      <c r="E29" s="42"/>
      <c r="F29" s="42"/>
      <c r="G29" s="42"/>
      <c r="H29" s="42"/>
      <c r="I29" s="42"/>
      <c r="J29" s="42"/>
      <c r="K29" s="42"/>
      <c r="L29" s="43"/>
      <c r="M29" s="35"/>
      <c r="N29" s="35"/>
      <c r="O29" s="35"/>
      <c r="P29" s="35"/>
      <c r="Q29" s="35"/>
      <c r="R29" s="35"/>
      <c r="S29" s="35"/>
    </row>
    <row r="30" ht="19.5" customHeight="1">
      <c r="A30" s="35"/>
      <c r="B30" s="39" t="s">
        <v>50</v>
      </c>
      <c r="C30" s="40" t="s">
        <v>51</v>
      </c>
      <c r="D30" s="41" t="s">
        <v>52</v>
      </c>
      <c r="E30" s="42"/>
      <c r="F30" s="42"/>
      <c r="G30" s="42"/>
      <c r="H30" s="42"/>
      <c r="I30" s="42"/>
      <c r="J30" s="42"/>
      <c r="K30" s="42"/>
      <c r="L30" s="43"/>
      <c r="M30" s="35"/>
      <c r="N30" s="35"/>
      <c r="O30" s="35"/>
      <c r="P30" s="35"/>
      <c r="Q30" s="35"/>
      <c r="R30" s="35"/>
      <c r="S30" s="35"/>
    </row>
    <row r="31" ht="19.5" customHeight="1">
      <c r="A31" s="35"/>
      <c r="B31" s="39" t="s">
        <v>53</v>
      </c>
      <c r="C31" s="40" t="s">
        <v>54</v>
      </c>
      <c r="D31" s="44" t="s">
        <v>55</v>
      </c>
      <c r="E31" s="42"/>
      <c r="F31" s="42"/>
      <c r="G31" s="42"/>
      <c r="H31" s="42"/>
      <c r="I31" s="42"/>
      <c r="J31" s="42"/>
      <c r="K31" s="42"/>
      <c r="L31" s="43"/>
      <c r="M31" s="35"/>
      <c r="N31" s="35"/>
      <c r="O31" s="35"/>
      <c r="P31" s="35"/>
      <c r="Q31" s="35"/>
      <c r="R31" s="35"/>
      <c r="S31" s="35"/>
    </row>
    <row r="32" ht="19.5" customHeight="1">
      <c r="A32" s="35"/>
      <c r="B32" s="39" t="s">
        <v>56</v>
      </c>
      <c r="C32" s="40" t="s">
        <v>57</v>
      </c>
      <c r="D32" s="41" t="s">
        <v>58</v>
      </c>
      <c r="E32" s="42"/>
      <c r="F32" s="42"/>
      <c r="G32" s="42"/>
      <c r="H32" s="42"/>
      <c r="I32" s="42"/>
      <c r="J32" s="42"/>
      <c r="K32" s="42"/>
      <c r="L32" s="43"/>
      <c r="M32" s="35"/>
      <c r="N32" s="35"/>
      <c r="O32" s="35"/>
      <c r="P32" s="35"/>
      <c r="Q32" s="35"/>
      <c r="R32" s="35"/>
      <c r="S32" s="35"/>
    </row>
    <row r="33" ht="19.5" customHeight="1">
      <c r="A33" s="35"/>
      <c r="B33" s="39" t="s">
        <v>59</v>
      </c>
      <c r="C33" s="40" t="s">
        <v>60</v>
      </c>
      <c r="D33" s="44" t="s">
        <v>61</v>
      </c>
      <c r="E33" s="42"/>
      <c r="F33" s="42"/>
      <c r="G33" s="42"/>
      <c r="H33" s="42"/>
      <c r="I33" s="42"/>
      <c r="J33" s="42"/>
      <c r="K33" s="42"/>
      <c r="L33" s="43"/>
      <c r="M33" s="35"/>
      <c r="N33" s="35"/>
      <c r="O33" s="35"/>
      <c r="P33" s="35"/>
      <c r="Q33" s="35"/>
      <c r="R33" s="35"/>
      <c r="S33" s="35"/>
    </row>
    <row r="34" ht="19.5" customHeight="1">
      <c r="A34" s="35"/>
      <c r="B34" s="39" t="s">
        <v>62</v>
      </c>
      <c r="C34" s="40" t="s">
        <v>63</v>
      </c>
      <c r="D34" s="41" t="s">
        <v>64</v>
      </c>
      <c r="E34" s="42"/>
      <c r="F34" s="42"/>
      <c r="G34" s="42"/>
      <c r="H34" s="42"/>
      <c r="I34" s="42"/>
      <c r="J34" s="42"/>
      <c r="K34" s="42"/>
      <c r="L34" s="43"/>
      <c r="M34" s="35"/>
      <c r="N34" s="35"/>
      <c r="O34" s="35"/>
      <c r="P34" s="35"/>
      <c r="Q34" s="35"/>
      <c r="R34" s="35"/>
      <c r="S34" s="35"/>
    </row>
    <row r="35" ht="19.5" customHeight="1">
      <c r="A35" s="35"/>
      <c r="B35" s="39" t="s">
        <v>65</v>
      </c>
      <c r="C35" s="40" t="s">
        <v>66</v>
      </c>
      <c r="D35" s="44" t="s">
        <v>67</v>
      </c>
      <c r="E35" s="42"/>
      <c r="F35" s="42"/>
      <c r="G35" s="42"/>
      <c r="H35" s="42"/>
      <c r="I35" s="42"/>
      <c r="J35" s="42"/>
      <c r="K35" s="42"/>
      <c r="L35" s="43"/>
      <c r="M35" s="35"/>
      <c r="N35" s="35"/>
      <c r="O35" s="35"/>
      <c r="P35" s="35"/>
      <c r="Q35" s="35"/>
      <c r="R35" s="35"/>
      <c r="S35" s="35"/>
    </row>
    <row r="36" ht="19.5" customHeight="1">
      <c r="A36" s="35"/>
      <c r="B36" s="39" t="s">
        <v>68</v>
      </c>
      <c r="C36" s="40" t="s">
        <v>69</v>
      </c>
      <c r="D36" s="41" t="s">
        <v>70</v>
      </c>
      <c r="E36" s="42"/>
      <c r="F36" s="42"/>
      <c r="G36" s="42"/>
      <c r="H36" s="42"/>
      <c r="I36" s="42"/>
      <c r="J36" s="42"/>
      <c r="K36" s="42"/>
      <c r="L36" s="43"/>
      <c r="M36" s="35"/>
      <c r="N36" s="35"/>
      <c r="O36" s="35"/>
      <c r="P36" s="35"/>
      <c r="Q36" s="35"/>
      <c r="R36" s="35"/>
      <c r="S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</row>
    <row r="38" ht="13.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</row>
    <row r="39" ht="24.0" customHeight="1">
      <c r="A39" s="35"/>
      <c r="B39" s="45" t="s">
        <v>71</v>
      </c>
      <c r="C39" s="42"/>
      <c r="D39" s="42"/>
      <c r="E39" s="42"/>
      <c r="F39" s="42"/>
      <c r="G39" s="42"/>
      <c r="H39" s="42"/>
      <c r="I39" s="42"/>
      <c r="J39" s="42"/>
      <c r="K39" s="42"/>
      <c r="L39" s="46"/>
      <c r="M39" s="35"/>
      <c r="N39" s="35"/>
      <c r="O39" s="35"/>
      <c r="P39" s="35"/>
      <c r="Q39" s="35"/>
      <c r="R39" s="35"/>
      <c r="S39" s="35"/>
    </row>
    <row r="40" ht="7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2:M2"/>
    <mergeCell ref="A3:M3"/>
    <mergeCell ref="B6:L6"/>
    <mergeCell ref="C7:L7"/>
    <mergeCell ref="C8:L8"/>
    <mergeCell ref="C9:L9"/>
    <mergeCell ref="C10:L10"/>
    <mergeCell ref="B12:L12"/>
    <mergeCell ref="C13:L13"/>
    <mergeCell ref="C14:L14"/>
    <mergeCell ref="C15:L15"/>
    <mergeCell ref="C16:L16"/>
    <mergeCell ref="B18:L18"/>
    <mergeCell ref="C19:L19"/>
    <mergeCell ref="C20:L20"/>
    <mergeCell ref="C21:L21"/>
    <mergeCell ref="B23:L23"/>
    <mergeCell ref="D24:L24"/>
    <mergeCell ref="D25:L25"/>
    <mergeCell ref="D26:L26"/>
    <mergeCell ref="D27:L27"/>
    <mergeCell ref="D35:L35"/>
    <mergeCell ref="D36:L36"/>
    <mergeCell ref="B39:L39"/>
    <mergeCell ref="D28:L28"/>
    <mergeCell ref="D29:L29"/>
    <mergeCell ref="D30:L30"/>
    <mergeCell ref="D31:L31"/>
    <mergeCell ref="D32:L32"/>
    <mergeCell ref="D33:L33"/>
    <mergeCell ref="D34:L3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901A"/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4.0"/>
    <col customWidth="1" min="3" max="3" width="18.0"/>
    <col customWidth="1" min="4" max="4" width="20.0"/>
    <col customWidth="1" min="5" max="5" width="4.0"/>
    <col customWidth="1" min="6" max="6" width="18.0"/>
    <col customWidth="1" min="7" max="7" width="20.0"/>
    <col customWidth="1" min="8" max="8" width="4.0"/>
    <col customWidth="1" min="9" max="9" width="18.0"/>
    <col customWidth="1" min="10" max="10" width="20.0"/>
    <col customWidth="1" min="11" max="11" width="4.0"/>
    <col customWidth="1" min="12" max="12" width="18.0"/>
    <col customWidth="1" min="13" max="26" width="8.71"/>
  </cols>
  <sheetData>
    <row r="1" ht="7.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ht="37.5" customHeight="1">
      <c r="A2" s="47" t="s">
        <v>72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ht="3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ht="13.5" customHeight="1">
      <c r="A5" s="48"/>
      <c r="B5" s="48"/>
      <c r="C5" s="48"/>
      <c r="D5" s="49"/>
      <c r="E5" s="49"/>
      <c r="F5" s="49"/>
      <c r="G5" s="50"/>
      <c r="H5" s="50"/>
      <c r="I5" s="50"/>
      <c r="J5" s="51"/>
      <c r="K5" s="51"/>
      <c r="L5" s="51"/>
      <c r="M5" s="35"/>
      <c r="N5" s="35"/>
    </row>
    <row r="6" ht="30.0" customHeight="1">
      <c r="A6" s="52">
        <f>SUM('1 CRONOGRAMA'!K2:K262)</f>
        <v>0</v>
      </c>
      <c r="B6" s="42"/>
      <c r="C6" s="46"/>
      <c r="D6" s="53">
        <f>SUM('1 CRONOGRAMA'!L2:L262)</f>
        <v>0</v>
      </c>
      <c r="E6" s="42"/>
      <c r="F6" s="46"/>
      <c r="G6" s="54">
        <f>IFERROR(AVERAGEIF('1 CRONOGRAMA'!M2:M262,"&lt;&gt;0",'1 CRONOGRAMA'!M2:M262),0)</f>
        <v>0</v>
      </c>
      <c r="H6" s="42"/>
      <c r="I6" s="46"/>
      <c r="J6" s="55">
        <f>COUNTA('1 CRONOGRAMA'!E2:E262)</f>
        <v>0</v>
      </c>
      <c r="K6" s="42"/>
      <c r="L6" s="46"/>
      <c r="M6" s="35"/>
      <c r="N6" s="35"/>
    </row>
    <row r="7" ht="21.75" customHeight="1">
      <c r="A7" s="56" t="s">
        <v>73</v>
      </c>
      <c r="B7" s="42"/>
      <c r="C7" s="46"/>
      <c r="D7" s="56" t="s">
        <v>74</v>
      </c>
      <c r="E7" s="42"/>
      <c r="F7" s="46"/>
      <c r="G7" s="56" t="s">
        <v>75</v>
      </c>
      <c r="H7" s="42"/>
      <c r="I7" s="46"/>
      <c r="J7" s="56" t="s">
        <v>76</v>
      </c>
      <c r="K7" s="42"/>
      <c r="L7" s="46"/>
      <c r="M7" s="35"/>
      <c r="N7" s="35"/>
    </row>
    <row r="8" ht="9.75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35"/>
      <c r="N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ht="13.5" customHeight="1">
      <c r="A12" s="58"/>
      <c r="B12" s="58"/>
      <c r="C12" s="58"/>
      <c r="D12" s="50"/>
      <c r="E12" s="50"/>
      <c r="F12" s="50"/>
      <c r="G12" s="59"/>
      <c r="H12" s="59"/>
      <c r="I12" s="59"/>
      <c r="J12" s="60"/>
      <c r="K12" s="60"/>
      <c r="L12" s="60"/>
      <c r="M12" s="35"/>
      <c r="N12" s="35"/>
    </row>
    <row r="13" ht="30.0" customHeight="1">
      <c r="A13" s="61">
        <f>COUNTIF('1 CRONOGRAMA'!N2:N262,"Concluído")</f>
        <v>0</v>
      </c>
      <c r="B13" s="42"/>
      <c r="C13" s="46"/>
      <c r="D13" s="62">
        <f>COUNTIF('1 CRONOGRAMA'!N2:N262,"Em dia")</f>
        <v>0</v>
      </c>
      <c r="E13" s="42"/>
      <c r="F13" s="46"/>
      <c r="G13" s="63">
        <f>COUNTIF('1 CRONOGRAMA'!N2:N262,"Não iniciado")</f>
        <v>0</v>
      </c>
      <c r="H13" s="42"/>
      <c r="I13" s="46"/>
      <c r="J13" s="64">
        <f>COUNTIF('1 CRONOGRAMA'!N2:N262,"Atrasado")</f>
        <v>0</v>
      </c>
      <c r="K13" s="42"/>
      <c r="L13" s="46"/>
      <c r="M13" s="35"/>
      <c r="N13" s="35"/>
    </row>
    <row r="14" ht="21.75" customHeight="1">
      <c r="A14" s="56" t="s">
        <v>77</v>
      </c>
      <c r="B14" s="42"/>
      <c r="C14" s="46"/>
      <c r="D14" s="56" t="s">
        <v>78</v>
      </c>
      <c r="E14" s="42"/>
      <c r="F14" s="46"/>
      <c r="G14" s="56" t="s">
        <v>79</v>
      </c>
      <c r="H14" s="42"/>
      <c r="I14" s="46"/>
      <c r="J14" s="56" t="s">
        <v>80</v>
      </c>
      <c r="K14" s="42"/>
      <c r="L14" s="46"/>
      <c r="M14" s="35"/>
      <c r="N14" s="35"/>
    </row>
    <row r="15" ht="9.7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35"/>
      <c r="N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ht="21.75" customHeight="1">
      <c r="A25" s="65" t="s">
        <v>81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2:N2"/>
    <mergeCell ref="A6:C6"/>
    <mergeCell ref="D6:F6"/>
    <mergeCell ref="G6:I6"/>
    <mergeCell ref="J6:L6"/>
    <mergeCell ref="A7:C7"/>
    <mergeCell ref="D7:F7"/>
    <mergeCell ref="D14:F14"/>
    <mergeCell ref="G14:I14"/>
    <mergeCell ref="A25:N25"/>
    <mergeCell ref="G7:I7"/>
    <mergeCell ref="J7:L7"/>
    <mergeCell ref="A13:C13"/>
    <mergeCell ref="D13:F13"/>
    <mergeCell ref="G13:I13"/>
    <mergeCell ref="J13:L13"/>
    <mergeCell ref="A14:C14"/>
    <mergeCell ref="J14:L14"/>
  </mergeCells>
  <printOptions/>
  <pageMargins bottom="1.0" footer="0.0" header="0.0" left="0.75" right="0.75" top="1.0"/>
  <pageSetup paperSize="9" orientation="portrait"/>
  <drawing r:id="rId1"/>
</worksheet>
</file>